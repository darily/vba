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050" yWindow="315" windowWidth="9510" windowHeight="4095" activeTab="2"/>
  </bookViews>
  <sheets>
    <sheet name="Sheet1" sheetId="1" r:id="rId1"/>
    <sheet name="Leasing" sheetId="2" r:id="rId2"/>
    <sheet name="Sheet2" sheetId="3" r:id="rId3"/>
  </sheets>
  <calcPr calcId="145621" calcMode="manual"/>
</workbook>
</file>

<file path=xl/calcChain.xml><?xml version="1.0" encoding="utf-8"?>
<calcChain xmlns="http://schemas.openxmlformats.org/spreadsheetml/2006/main">
  <c r="I127" i="3" l="1"/>
  <c r="I126" i="3"/>
  <c r="I123" i="3"/>
  <c r="I111" i="3"/>
  <c r="I108" i="3"/>
  <c r="I107" i="3"/>
  <c r="I98" i="3"/>
  <c r="I97" i="3"/>
  <c r="E96" i="3"/>
  <c r="E95" i="3"/>
  <c r="I94" i="3"/>
  <c r="E94" i="3"/>
  <c r="E93" i="3"/>
  <c r="E92" i="3"/>
  <c r="I91" i="3"/>
  <c r="E90" i="3"/>
  <c r="E89" i="3"/>
  <c r="I88" i="3"/>
  <c r="E88" i="3"/>
  <c r="E87" i="3"/>
  <c r="I86" i="3"/>
  <c r="E86" i="3"/>
  <c r="I85" i="3"/>
  <c r="E85" i="3"/>
  <c r="E84" i="3"/>
  <c r="I83" i="3"/>
  <c r="E83" i="3"/>
  <c r="I81" i="3"/>
  <c r="I80" i="3"/>
  <c r="I78" i="3"/>
  <c r="E75" i="3"/>
  <c r="E74" i="3"/>
  <c r="E73" i="3"/>
  <c r="E72" i="3"/>
  <c r="I68" i="3"/>
  <c r="I67" i="3"/>
  <c r="I65" i="3"/>
  <c r="I61" i="3"/>
  <c r="I52" i="3"/>
  <c r="I51" i="3"/>
  <c r="I48" i="3"/>
  <c r="I47" i="3"/>
  <c r="I46" i="3"/>
  <c r="E44" i="3"/>
  <c r="E43" i="3"/>
  <c r="E42" i="3"/>
  <c r="E41" i="3"/>
  <c r="I40" i="3"/>
  <c r="E40" i="3"/>
  <c r="E39" i="3"/>
  <c r="E38" i="3"/>
  <c r="E37" i="3"/>
  <c r="E36" i="3"/>
  <c r="E35" i="3"/>
  <c r="E34" i="3"/>
  <c r="I33" i="3"/>
  <c r="E33" i="3"/>
  <c r="E32" i="3"/>
  <c r="E31" i="3"/>
  <c r="I30" i="3"/>
  <c r="E30" i="3"/>
  <c r="E29" i="3"/>
  <c r="E28" i="3"/>
  <c r="E27" i="3"/>
  <c r="E25" i="3"/>
  <c r="E24" i="3"/>
  <c r="E23" i="3"/>
  <c r="E22" i="3"/>
  <c r="I21" i="3"/>
  <c r="E21" i="3"/>
  <c r="E20" i="3"/>
  <c r="E19" i="3"/>
  <c r="E18" i="3"/>
  <c r="I17" i="3"/>
  <c r="E17" i="3"/>
  <c r="I16" i="3"/>
  <c r="E16" i="3"/>
  <c r="E15" i="3"/>
  <c r="E14" i="3"/>
  <c r="E13" i="3"/>
  <c r="I12" i="3"/>
  <c r="E12" i="3"/>
  <c r="E10" i="3"/>
  <c r="I9" i="3"/>
  <c r="E9" i="3"/>
  <c r="E8" i="3"/>
  <c r="I6" i="3"/>
  <c r="E5" i="3"/>
  <c r="E4" i="3"/>
  <c r="I3" i="3"/>
  <c r="E3" i="3"/>
  <c r="I2" i="3"/>
  <c r="E2" i="3"/>
  <c r="E2" i="2"/>
  <c r="D2" i="2"/>
  <c r="G2" i="2"/>
  <c r="H2" i="2"/>
  <c r="F2" i="2"/>
  <c r="C2" i="2"/>
</calcChain>
</file>

<file path=xl/sharedStrings.xml><?xml version="1.0" encoding="utf-8"?>
<sst xmlns="http://schemas.openxmlformats.org/spreadsheetml/2006/main" count="1907" uniqueCount="603">
  <si>
    <t>Name</t>
    <phoneticPr fontId="1" type="noConversion"/>
  </si>
  <si>
    <t>Delivery Date</t>
    <phoneticPr fontId="1" type="noConversion"/>
  </si>
  <si>
    <t>Dec 23,2013</t>
    <phoneticPr fontId="1" type="noConversion"/>
  </si>
  <si>
    <t>EMMA Score</t>
    <phoneticPr fontId="1" type="noConversion"/>
  </si>
  <si>
    <t>D&amp;B Rating</t>
  </si>
  <si>
    <t>BB3</t>
    <phoneticPr fontId="1" type="noConversion"/>
  </si>
  <si>
    <t>Composite
Appraisal</t>
    <phoneticPr fontId="1" type="noConversion"/>
  </si>
  <si>
    <t>安徽中信货运有限公司</t>
    <phoneticPr fontId="1" type="noConversion"/>
  </si>
  <si>
    <t>Mar 12,2014</t>
  </si>
  <si>
    <t>3AA2</t>
  </si>
  <si>
    <t>Jan 06,2014</t>
  </si>
  <si>
    <t>-</t>
    <phoneticPr fontId="1" type="noConversion"/>
  </si>
  <si>
    <t>3AA-</t>
    <phoneticPr fontId="1" type="noConversion"/>
  </si>
  <si>
    <t>北京如风达快递有限公司</t>
    <phoneticPr fontId="1" type="noConversion"/>
  </si>
  <si>
    <t>北京展新物流有限公司</t>
    <phoneticPr fontId="1" type="noConversion"/>
  </si>
  <si>
    <t>Apr 16,2014</t>
  </si>
  <si>
    <t>AA3</t>
    <phoneticPr fontId="1" type="noConversion"/>
  </si>
  <si>
    <t>大连中之杰物流有限公司</t>
    <phoneticPr fontId="1" type="noConversion"/>
  </si>
  <si>
    <t>Nov 07,2013</t>
  </si>
  <si>
    <t>佛山市顺融万德按揭咨询有限公司</t>
  </si>
  <si>
    <t>Apr 09,2014</t>
  </si>
  <si>
    <t>HH3</t>
    <phoneticPr fontId="1" type="noConversion"/>
  </si>
  <si>
    <t>Mar 31,2014</t>
  </si>
  <si>
    <t>3AA2</t>
    <phoneticPr fontId="1" type="noConversion"/>
  </si>
  <si>
    <t>广州市益邦物流有限公司</t>
    <phoneticPr fontId="1" type="noConversion"/>
  </si>
  <si>
    <t>Oct 18,2013</t>
  </si>
  <si>
    <t>N/A</t>
  </si>
  <si>
    <t>-</t>
    <phoneticPr fontId="1" type="noConversion"/>
  </si>
  <si>
    <t>CC-</t>
    <phoneticPr fontId="1" type="noConversion"/>
  </si>
  <si>
    <t>广州保税区海达国际贸易有限公司</t>
    <phoneticPr fontId="1" type="noConversion"/>
  </si>
  <si>
    <t>Dec 17,2013</t>
  </si>
  <si>
    <t>EE3</t>
    <phoneticPr fontId="1" type="noConversion"/>
  </si>
  <si>
    <t>广州江枫物流有限公司</t>
    <phoneticPr fontId="1" type="noConversion"/>
  </si>
  <si>
    <t>广州门到门物流有限公司</t>
  </si>
  <si>
    <t>Oct 09,2013</t>
  </si>
  <si>
    <t>AA2</t>
  </si>
  <si>
    <t>广州市吕顺机电设备有限公司</t>
  </si>
  <si>
    <t>Dec 31,2013</t>
  </si>
  <si>
    <t>2AA3</t>
  </si>
  <si>
    <t>广州挚翔国际货运代理有限公司</t>
  </si>
  <si>
    <t>Mar 24,2014</t>
  </si>
  <si>
    <t>1AA3</t>
  </si>
  <si>
    <t>广州国药物流有限公司</t>
  </si>
  <si>
    <t>Jul 09,2013</t>
  </si>
  <si>
    <t>4AA3</t>
  </si>
  <si>
    <t>国药医药发展有限公司</t>
  </si>
  <si>
    <t>Oct 11,2013</t>
    <phoneticPr fontId="1" type="noConversion"/>
  </si>
  <si>
    <t>BB-</t>
    <phoneticPr fontId="1" type="noConversion"/>
  </si>
  <si>
    <t>哈尔滨通海科技投资有限公司</t>
  </si>
  <si>
    <t>Oct 25,2013</t>
  </si>
  <si>
    <t>3AA-</t>
    <phoneticPr fontId="1" type="noConversion"/>
  </si>
  <si>
    <t>河北城通物流有限公司</t>
  </si>
  <si>
    <t>Sep 11,2013</t>
  </si>
  <si>
    <t>河南安迅物流有限公司</t>
  </si>
  <si>
    <t>Apr 25,2014</t>
  </si>
  <si>
    <t>CC3</t>
  </si>
  <si>
    <t>河南省大信整体厨房科贸有限公司</t>
  </si>
  <si>
    <t>Nov 28,2013</t>
  </si>
  <si>
    <t>江苏京东信息技术有限公司</t>
  </si>
  <si>
    <t>Mar 05,2014</t>
  </si>
  <si>
    <t>江苏易达通国际物流有限公司</t>
  </si>
  <si>
    <t>Feb 14,2014</t>
  </si>
  <si>
    <t>3AA3</t>
  </si>
  <si>
    <t>江苏圆周电子商务有限公司</t>
  </si>
  <si>
    <t>May 16,2014</t>
  </si>
  <si>
    <t>京展望物流（北京）有限公司</t>
  </si>
  <si>
    <t>CC2</t>
  </si>
  <si>
    <t>快捷物流有限公司</t>
  </si>
  <si>
    <t>乐蜂(上海)信息技术有限公司</t>
  </si>
  <si>
    <t>Jan 14,2014</t>
  </si>
  <si>
    <t>南方佛吉亚汽车部件有限公司</t>
  </si>
  <si>
    <t>Apr 30,2014</t>
  </si>
  <si>
    <t>宁波佳和瑞泰国际物流有限公司</t>
  </si>
  <si>
    <t>Feb 13,2014</t>
  </si>
  <si>
    <t>宁波龙和仓储有限公司</t>
  </si>
  <si>
    <t>Feb 21,2014</t>
  </si>
  <si>
    <t>AA3</t>
  </si>
  <si>
    <t>日立物流（中国）有限公司</t>
  </si>
  <si>
    <t>May 19,2014</t>
  </si>
  <si>
    <t>May 19,2014</t>
    <phoneticPr fontId="1" type="noConversion"/>
  </si>
  <si>
    <t>陕西瀚博实业有限公司</t>
  </si>
  <si>
    <t>N-</t>
    <phoneticPr fontId="1" type="noConversion"/>
  </si>
  <si>
    <t>上海海博斯班赛国际物流有限公司</t>
  </si>
  <si>
    <t>Apr 17,2014</t>
  </si>
  <si>
    <t>上海佳吉快运有限公司</t>
  </si>
  <si>
    <t>May 26,2014</t>
  </si>
  <si>
    <t>上海曼伦商贸有限公司</t>
  </si>
  <si>
    <t>Dec 04,2012</t>
  </si>
  <si>
    <t>上海星月物流有限公司</t>
  </si>
  <si>
    <t>Mar 07,2014</t>
  </si>
  <si>
    <t>上海铱力物流有限公司</t>
  </si>
  <si>
    <t>1AA-</t>
    <phoneticPr fontId="1" type="noConversion"/>
  </si>
  <si>
    <t>上海易浦供应链管理有限公司</t>
  </si>
  <si>
    <t>上海易浦物流有限公司</t>
  </si>
  <si>
    <t>上海优壹电子商务有限公司</t>
  </si>
  <si>
    <t>Mar 06,2014</t>
  </si>
  <si>
    <t>上海郑明现代物流有限公司</t>
  </si>
  <si>
    <t>Jan 22,2014</t>
  </si>
  <si>
    <t>深圳市宝时惠电子商务有限公司</t>
  </si>
  <si>
    <t>Dec 27,2013</t>
  </si>
  <si>
    <t>深圳市海格物流股份有限公司</t>
  </si>
  <si>
    <t>Jun 03,2014</t>
  </si>
  <si>
    <t>4A-</t>
    <phoneticPr fontId="1" type="noConversion"/>
  </si>
  <si>
    <t>深圳市华夏龙供应链管理有限公司</t>
  </si>
  <si>
    <t>泰科电子(上海)有限公司</t>
  </si>
  <si>
    <t>Feb 08,2014</t>
  </si>
  <si>
    <t>天津嘉阳物流有限公司</t>
  </si>
  <si>
    <t>天津全程德邦物流有限公司</t>
  </si>
  <si>
    <t>天津三星LED有限公司</t>
  </si>
  <si>
    <t>Oct 22,2013</t>
  </si>
  <si>
    <t>5AA2</t>
  </si>
  <si>
    <t>5AA2</t>
    <phoneticPr fontId="1" type="noConversion"/>
  </si>
  <si>
    <t>天地华宇物流有限公司</t>
  </si>
  <si>
    <t>Nov 05,2013</t>
  </si>
  <si>
    <t>BB-</t>
    <phoneticPr fontId="1" type="noConversion"/>
  </si>
  <si>
    <t>希杰大通天天物流（天津）有限公司</t>
  </si>
  <si>
    <t>May 07,2014</t>
  </si>
  <si>
    <t>小米科技有限责任公司</t>
  </si>
  <si>
    <t>亚马逊（中国）投资有限公司</t>
  </si>
  <si>
    <t>招商局物流（天津）有限公司</t>
  </si>
  <si>
    <t>Apr 10,2014</t>
  </si>
  <si>
    <t>4AA2</t>
  </si>
  <si>
    <t>郑州市希和商贸有限公司</t>
  </si>
  <si>
    <t>AA-</t>
    <phoneticPr fontId="1" type="noConversion"/>
  </si>
  <si>
    <t>1AA2</t>
    <phoneticPr fontId="1" type="noConversion"/>
  </si>
  <si>
    <t>Code</t>
  </si>
  <si>
    <t>Name</t>
  </si>
  <si>
    <t>Current Owed</t>
  </si>
  <si>
    <t>0  - 30 Owed</t>
  </si>
  <si>
    <t>31 - 60 Owed</t>
  </si>
  <si>
    <t>61 - 90 Owed</t>
  </si>
  <si>
    <t>91-180 Owed</t>
  </si>
  <si>
    <t>Over 180 Owed</t>
  </si>
  <si>
    <t xml:space="preserve">Notes </t>
  </si>
  <si>
    <t>Sum</t>
  </si>
  <si>
    <t>0  - 30 Owed</t>
    <phoneticPr fontId="1" type="noConversion"/>
  </si>
  <si>
    <t>Leasing Current Owed</t>
    <phoneticPr fontId="1" type="noConversion"/>
  </si>
  <si>
    <t>31 - 60</t>
    <phoneticPr fontId="1" type="noConversion"/>
  </si>
  <si>
    <t>61 - 90</t>
    <phoneticPr fontId="1" type="noConversion"/>
  </si>
  <si>
    <t>91-180</t>
  </si>
  <si>
    <t>Over 180</t>
  </si>
  <si>
    <t>北京科捷物流有限公司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</si>
  <si>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</si>
  <si>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</si>
  <si>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</si>
  <si>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</si>
  <si>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Company Name</t>
  </si>
  <si>
    <t>Chinese Name</t>
  </si>
  <si>
    <t>EMMA score</t>
  </si>
  <si>
    <t>D&amp;B Rating</t>
    <phoneticPr fontId="1" type="noConversion"/>
  </si>
  <si>
    <t xml:space="preserve"> D&amp;B Rating</t>
  </si>
  <si>
    <t>D&amp;B Paydex</t>
  </si>
  <si>
    <t>China Delinquency Score Risk Class</t>
  </si>
  <si>
    <t>Registered Capital</t>
  </si>
  <si>
    <t>Registered Capital: USD</t>
  </si>
  <si>
    <t>Registered Capital: RMB</t>
  </si>
  <si>
    <t>Registered Capital: HKD</t>
  </si>
  <si>
    <t>Registered Capital: EUR</t>
  </si>
  <si>
    <t>Aidehua (Shanghai) Medical Treatment Products Co., Ltd.</t>
  </si>
  <si>
    <t>爱德华（上海）医疗用品有限公司</t>
    <phoneticPr fontId="1" type="noConversion"/>
  </si>
  <si>
    <t>M</t>
    <phoneticPr fontId="1" type="noConversion"/>
  </si>
  <si>
    <t>3AA1</t>
  </si>
  <si>
    <t>Baisui Xinlian Logistics (Shanghai) Co., Ltd.</t>
  </si>
  <si>
    <t>百岁新联物流（上海）有限公司</t>
    <phoneticPr fontId="1" type="noConversion"/>
  </si>
  <si>
    <t>L</t>
    <phoneticPr fontId="1" type="noConversion"/>
  </si>
  <si>
    <t>P.G. Logistics Group Co., Ltd.</t>
  </si>
  <si>
    <t>宝供物流企业集团有限公司</t>
    <phoneticPr fontId="1" type="noConversion"/>
  </si>
  <si>
    <t>L</t>
    <phoneticPr fontId="1" type="noConversion"/>
  </si>
  <si>
    <t>4A-</t>
  </si>
  <si>
    <t>70,000,000RMB</t>
  </si>
  <si>
    <t>Beijing Dongfang Botai Records Management Consulting Co., Ltd.</t>
  </si>
  <si>
    <t>北京东方博泰档案文件管理咨询有限公司</t>
    <phoneticPr fontId="1" type="noConversion"/>
  </si>
  <si>
    <t>3AA-</t>
  </si>
  <si>
    <t>10,000,000RMB</t>
  </si>
  <si>
    <t>Beijing Shiji Zhuoyue Express Service Co., Ltd.</t>
  </si>
  <si>
    <t>北京世纪卓越快递服务有限公司</t>
    <phoneticPr fontId="1" type="noConversion"/>
  </si>
  <si>
    <t>Range: Low risk group</t>
  </si>
  <si>
    <t>Beijing HongXing Ertai Decoration Engineering Co., Ltd.</t>
  </si>
  <si>
    <t>北京洪兴尔泰装饰工程有限公司</t>
  </si>
  <si>
    <t>1,000,000RMB</t>
  </si>
  <si>
    <t>Beijing Tong'an Logistics Co., Ltd.</t>
  </si>
  <si>
    <t>北京通奥物流有限公司</t>
  </si>
  <si>
    <t>EE-</t>
  </si>
  <si>
    <t>500,000RMB</t>
  </si>
  <si>
    <t>Scholle Packaging (Suzhou) Co., Ltd.</t>
  </si>
  <si>
    <t>超力包装（苏州）有限公司</t>
  </si>
  <si>
    <t>Packaging</t>
    <phoneticPr fontId="1" type="noConversion"/>
  </si>
  <si>
    <t>3A3</t>
  </si>
  <si>
    <t>Chengdu Jurong Zhongyun Logistics Co., Ltd.</t>
  </si>
  <si>
    <t>成都聚融中运物流有限公司</t>
  </si>
  <si>
    <t>Transfar Group Co., Ltd.</t>
  </si>
  <si>
    <t>传化集团有限公司</t>
  </si>
  <si>
    <t>5A1</t>
    <phoneticPr fontId="1" type="noConversion"/>
  </si>
  <si>
    <t>5A1(PRV.4A3)</t>
  </si>
  <si>
    <t>510,000,000RMB</t>
  </si>
  <si>
    <t>DKSH (China) Co., Ltd.</t>
  </si>
  <si>
    <t>大昌华嘉商业（中国）有限公司</t>
  </si>
  <si>
    <t>Goodwell China Marketing Service Co., Ltd.</t>
  </si>
  <si>
    <t>大昌三昶（上海）商贸有限公司</t>
  </si>
  <si>
    <t>Trading</t>
    <phoneticPr fontId="1" type="noConversion"/>
  </si>
  <si>
    <t>20,250,000RMB</t>
  </si>
  <si>
    <t>Dalian Chengfeng International Logistics Co., Ltd.</t>
  </si>
  <si>
    <t>大连晨丰国际物流有限公司</t>
  </si>
  <si>
    <t>L</t>
    <phoneticPr fontId="1" type="noConversion"/>
  </si>
  <si>
    <t>5,000,000RMB</t>
  </si>
  <si>
    <t>Chongqing Dazu Hardware Logistics Co., Ltd</t>
  </si>
  <si>
    <t>重庆大足五金物流有限公司</t>
  </si>
  <si>
    <t>2A-</t>
  </si>
  <si>
    <t>100,000,000RMB</t>
  </si>
  <si>
    <t>Lafaso (Shanghai) Entertainment Limited.</t>
  </si>
  <si>
    <t>东方风行（上海）生活多媒体有限公司</t>
  </si>
  <si>
    <t>OOCL Logistics (China) Ltd.</t>
  </si>
  <si>
    <t>东方海外物流（中国）有限公司</t>
  </si>
  <si>
    <t>L</t>
    <phoneticPr fontId="1" type="noConversion"/>
  </si>
  <si>
    <t>Foshan Hengte Textile Co., Ltd.</t>
  </si>
  <si>
    <t>佛山市亨特纺织有限公司</t>
  </si>
  <si>
    <t>Textile</t>
    <phoneticPr fontId="1" type="noConversion"/>
  </si>
  <si>
    <t>Foshan Jiaqian Textile Co., Ltd.</t>
  </si>
  <si>
    <t>佛山市嘉谦纺织有限公司</t>
  </si>
  <si>
    <t>1AA-</t>
  </si>
  <si>
    <t>Fujian Dahui Refrigeration Logistics Co., Ltd.</t>
  </si>
  <si>
    <t>福建大汇冷藏物流股份有限公司</t>
  </si>
  <si>
    <t>L</t>
    <phoneticPr fontId="1" type="noConversion"/>
  </si>
  <si>
    <t>10,393,000RMB</t>
  </si>
  <si>
    <t>Grainger Industrial Sales (China) Co., Ltd.</t>
  </si>
  <si>
    <t>固安捷（中国）工业品销售有限责任公司</t>
  </si>
  <si>
    <t>Guangdong Postal Express &amp; Logistics Co., Ltd.</t>
  </si>
  <si>
    <t>广东省邮政速递物流有限公司</t>
  </si>
  <si>
    <t>L</t>
    <phoneticPr fontId="1" type="noConversion"/>
  </si>
  <si>
    <t>5A2</t>
  </si>
  <si>
    <t>700,000,000RMB</t>
  </si>
  <si>
    <t>Guangdong Xinyi Technology Logistics Co., Ltd.</t>
  </si>
  <si>
    <t>广东心怡科技物流有限公司</t>
  </si>
  <si>
    <t>3A2</t>
  </si>
  <si>
    <t>Guangzhou Daoge Trade Co., Ltd.</t>
  </si>
  <si>
    <t>广州道格贸易有限公司</t>
  </si>
  <si>
    <t>T</t>
    <phoneticPr fontId="1" type="noConversion"/>
  </si>
  <si>
    <t>EE3</t>
  </si>
  <si>
    <t>Guangzhou Maishi Commerical Service Co., Ltd.</t>
  </si>
  <si>
    <t>广州迈世商务服务有限公司</t>
  </si>
  <si>
    <t>Guangzhou Shangcen Garments Co., Ltd.</t>
  </si>
  <si>
    <t>广州尚岑服饰有限公司</t>
  </si>
  <si>
    <t>Clothing</t>
    <phoneticPr fontId="1" type="noConversion"/>
  </si>
  <si>
    <t>5A2</t>
    <phoneticPr fontId="1" type="noConversion"/>
  </si>
  <si>
    <t>5A2(PRV.5A2)</t>
  </si>
  <si>
    <t>Guangzhou S.F. Express Co., Ltd</t>
  </si>
  <si>
    <t>广州顺风速运有限公司</t>
  </si>
  <si>
    <t>L</t>
    <phoneticPr fontId="1" type="noConversion"/>
  </si>
  <si>
    <t>57,078,752RMB</t>
  </si>
  <si>
    <t>Guangzhou Socop Lamps Company Ltd.</t>
  </si>
  <si>
    <t>广州素哥波灯具有限公司</t>
  </si>
  <si>
    <t>Lighting</t>
    <phoneticPr fontId="1" type="noConversion"/>
  </si>
  <si>
    <t>2AA2</t>
  </si>
  <si>
    <t>7,530,000RMB</t>
  </si>
  <si>
    <t>Guangzhou Topsun International Freight Forwarding Co., Ltd.</t>
  </si>
  <si>
    <t>广州拓普森国际货运代理有限公司</t>
  </si>
  <si>
    <t>E3</t>
  </si>
  <si>
    <t>5,500,000RMB</t>
  </si>
  <si>
    <t>Guangzhou Toll Warehousing Services Co., Ltd.</t>
  </si>
  <si>
    <t>广州拓亚仓储服务有限公司</t>
  </si>
  <si>
    <t>N4</t>
  </si>
  <si>
    <t>Guangzhou Xuxiang International Trade Co., Ltd.</t>
  </si>
  <si>
    <t>广州旭翔国际贸易有限公司</t>
  </si>
  <si>
    <t>T</t>
    <phoneticPr fontId="1" type="noConversion"/>
  </si>
  <si>
    <t>State Medicine Group Medicine Logistics Co., Ltd.</t>
  </si>
  <si>
    <t>国药集团医药物流有限公司</t>
  </si>
  <si>
    <t>Medicine</t>
    <phoneticPr fontId="1" type="noConversion"/>
  </si>
  <si>
    <t>300,000,000RMB</t>
  </si>
  <si>
    <t>Goodbaby China Commericial Co., Ltd.</t>
  </si>
  <si>
    <t>好孩子（中国）贸易有限公司</t>
  </si>
  <si>
    <t>4A3</t>
  </si>
  <si>
    <t>Chong Qing Hanquick Logistics Corp.</t>
  </si>
  <si>
    <t>重庆恒聚物流股份有限公司</t>
  </si>
  <si>
    <t>9,100,000RMB</t>
  </si>
  <si>
    <t>Hubei Jiuzhou Shuntian International Logistics Co., Ltd.</t>
  </si>
  <si>
    <t>湖北九州舜天国际物流有限公司</t>
  </si>
  <si>
    <t>Hunan Jiuyu Logistics Co., Ltd.</t>
  </si>
  <si>
    <t>湖南九裕物流有限公司</t>
  </si>
  <si>
    <t>Hunan Jingyang Logistics Co., Ltd.</t>
  </si>
  <si>
    <t>湖南省京阳物流有限公司</t>
  </si>
  <si>
    <t>4A1</t>
  </si>
  <si>
    <t>20,880,000RMB</t>
  </si>
  <si>
    <t>Huilian Logistics (Beijing) Co., Ltd.</t>
  </si>
  <si>
    <t>辉联物流（北京）有限公司</t>
  </si>
  <si>
    <t>AA-</t>
  </si>
  <si>
    <t>2,5000,000RMB</t>
  </si>
  <si>
    <t>Jinan Deppon Logstics Co., Ltd.</t>
  </si>
  <si>
    <t>济南德邦物流有限公司</t>
  </si>
  <si>
    <t>3,000,000RMB</t>
  </si>
  <si>
    <t>Giti Tire (China) Investment Co., Ltd.</t>
  </si>
  <si>
    <t>佳通轮胎（中国）投资有限公司</t>
  </si>
  <si>
    <t>I</t>
    <phoneticPr fontId="1" type="noConversion"/>
  </si>
  <si>
    <t>Jiangsu ABLE logsitcs Co., Ltd.</t>
  </si>
  <si>
    <t>江苏安邦物流有限公司</t>
  </si>
  <si>
    <t>Jiangsu Deppon Express Co., Ltd.</t>
  </si>
  <si>
    <t>江苏德邦物流有限公司</t>
  </si>
  <si>
    <t>O3</t>
  </si>
  <si>
    <t>Jiangsu Haihang International Logistics Co., Ltd.</t>
  </si>
  <si>
    <t>江苏海航国际物流有限公司</t>
  </si>
  <si>
    <t>20,000,000RMB</t>
  </si>
  <si>
    <t>EVL (Tianjin) Logistics Co., Ltd.</t>
  </si>
  <si>
    <t>精英（天津）物流有限公司</t>
  </si>
  <si>
    <t>Cabbeen Clothing (China) Co., Ltd.</t>
  </si>
  <si>
    <t>卡宾服饰（中国）有限公司</t>
  </si>
  <si>
    <t>Clothing</t>
    <phoneticPr fontId="1" type="noConversion"/>
  </si>
  <si>
    <t xml:space="preserve">3A3(PRV.3A3) </t>
  </si>
  <si>
    <t>Kraft Foods Management (Shanghai) Co., Ltd.</t>
  </si>
  <si>
    <t>卡夫食品企业管理（上海）有限公司</t>
  </si>
  <si>
    <t>Food</t>
    <phoneticPr fontId="1" type="noConversion"/>
  </si>
  <si>
    <t>4A3</t>
    <phoneticPr fontId="1" type="noConversion"/>
  </si>
  <si>
    <t>4A3(PRV.4A-)</t>
  </si>
  <si>
    <t>Cummins Engine (Beijing) Co., Ltd.</t>
  </si>
  <si>
    <t>康明斯发动机（北京）有限公司</t>
  </si>
  <si>
    <t>Auto Component</t>
    <phoneticPr fontId="1" type="noConversion"/>
  </si>
  <si>
    <t>4A1</t>
    <phoneticPr fontId="1" type="noConversion"/>
  </si>
  <si>
    <t>Blaupunkt Automotive Products (Suzhou) Co., Ltd.</t>
  </si>
  <si>
    <t>蓝宝汽车部件（苏州）有限公司</t>
  </si>
  <si>
    <t>3A3</t>
    <phoneticPr fontId="1" type="noConversion"/>
  </si>
  <si>
    <t>Federal Express (China) Co., Ltd.</t>
  </si>
  <si>
    <t>联邦快递（中国）有限公司</t>
  </si>
  <si>
    <t>5A-</t>
    <phoneticPr fontId="1" type="noConversion"/>
  </si>
  <si>
    <t>5A-(PRV. 5A2)</t>
  </si>
  <si>
    <t>1,018,394,483RMB</t>
  </si>
  <si>
    <t>Liaoning ZHH-CDS Logistics Co., Ltd</t>
  </si>
  <si>
    <t>辽宁朝晖骏光国际货运代理有限公司</t>
  </si>
  <si>
    <t>O3</t>
    <phoneticPr fontId="1" type="noConversion"/>
  </si>
  <si>
    <t>10,880,000RMB</t>
  </si>
  <si>
    <t>Marykay Jinlv (Hangzhou) Daily Chemical Products Co., Ltd.</t>
  </si>
  <si>
    <t>玫琳凯金律（杭州）日用化学品有限公司</t>
  </si>
  <si>
    <t>Chemical industry</t>
    <phoneticPr fontId="1" type="noConversion"/>
  </si>
  <si>
    <t>CC2</t>
    <phoneticPr fontId="1" type="noConversion"/>
  </si>
  <si>
    <t>Metalor Technologies (Suzhou) Co., Ltd.</t>
  </si>
  <si>
    <t>美泰乐科技（苏州）有限公司</t>
  </si>
  <si>
    <t>Technology</t>
    <phoneticPr fontId="1" type="noConversion"/>
  </si>
  <si>
    <t>4A</t>
    <phoneticPr fontId="1" type="noConversion"/>
  </si>
  <si>
    <t>4A-(PRV. 3A3)</t>
  </si>
  <si>
    <t>Ningbo Taixin International Logistics Co., Ltd.</t>
  </si>
  <si>
    <t>宁波泰欣国际物流有限公司</t>
  </si>
  <si>
    <t>1AA-</t>
    <phoneticPr fontId="1" type="noConversion"/>
  </si>
  <si>
    <t>Ningbo Zhiheng Logistics Co., Ltd.</t>
  </si>
  <si>
    <t>宁波志恒物流有限公司</t>
  </si>
  <si>
    <t>CC-</t>
    <phoneticPr fontId="1" type="noConversion"/>
  </si>
  <si>
    <t>CC-</t>
  </si>
  <si>
    <t>Ningxiang County urban Construction Investment Development Co., Ltd</t>
  </si>
  <si>
    <t>宁乡县新城开发建设投资有限公司</t>
  </si>
  <si>
    <t>Constructioin</t>
    <phoneticPr fontId="1" type="noConversion"/>
  </si>
  <si>
    <t>50,000,000RMB</t>
  </si>
  <si>
    <t>Ostin (Shanghai) Trading Co., Ltd.</t>
  </si>
  <si>
    <t>欧饰蒂（上海）贸易有限公司</t>
  </si>
  <si>
    <t>Trading</t>
    <phoneticPr fontId="1" type="noConversion"/>
  </si>
  <si>
    <t>3AA2</t>
    <phoneticPr fontId="1" type="noConversion"/>
  </si>
  <si>
    <t>38,000,000RMB</t>
  </si>
  <si>
    <t>Qingdao Haoxiang Art Co., Ltd.</t>
  </si>
  <si>
    <t>青岛昊翔艺术有限公司</t>
  </si>
  <si>
    <t>Other</t>
    <phoneticPr fontId="1" type="noConversion"/>
  </si>
  <si>
    <t>1A3</t>
    <phoneticPr fontId="1" type="noConversion"/>
  </si>
  <si>
    <t>1A3</t>
  </si>
  <si>
    <t>Qingdao Cenchelyn Tyre Co., Ltd.</t>
  </si>
  <si>
    <t>青岛森麒麟轮胎有限公司</t>
  </si>
  <si>
    <t>4A3(PRV.O3)</t>
  </si>
  <si>
    <t>374,768,600RMB</t>
  </si>
  <si>
    <t>Qingdao XJT International Logistics Co., Ltd.</t>
  </si>
  <si>
    <t>青岛鑫捷通国际物流有限公司</t>
  </si>
  <si>
    <t>A3</t>
    <phoneticPr fontId="1" type="noConversion"/>
  </si>
  <si>
    <t>A3</t>
  </si>
  <si>
    <t>Qufu Investment Management (Shanghai) Co., Ltd.</t>
  </si>
  <si>
    <t>曲富投资管理（上海）有限公司</t>
  </si>
  <si>
    <t>Investment</t>
    <phoneticPr fontId="1" type="noConversion"/>
  </si>
  <si>
    <t>Mitex Logistics (Shanghai) Co., Ltd.</t>
  </si>
  <si>
    <t>三运物流（上海）有限公司</t>
  </si>
  <si>
    <t>3AA1</t>
    <phoneticPr fontId="1" type="noConversion"/>
  </si>
  <si>
    <t>Xiamen ITG Tidak Logistics Co., Ltd.</t>
  </si>
  <si>
    <t>厦门国贸泰达物流有限公司</t>
  </si>
  <si>
    <t>Shanghai Boluo Trading Co., Ltd.</t>
  </si>
  <si>
    <t>上海伯络商贸有限公司</t>
  </si>
  <si>
    <t>Da Peng (Shanghai) International Forwarding Co., Ltd.</t>
  </si>
  <si>
    <t>上海大鹏国际货运有限公司</t>
  </si>
  <si>
    <t>3AA-</t>
    <phoneticPr fontId="1" type="noConversion"/>
  </si>
  <si>
    <t>3AA-(PRV.1A3)</t>
  </si>
  <si>
    <t>DSV Air &amp; Sea Co., Ltd.</t>
  </si>
  <si>
    <t>上海得斯威国际货运有限公司</t>
  </si>
  <si>
    <t>4A-</t>
    <phoneticPr fontId="1" type="noConversion"/>
  </si>
  <si>
    <t>Shanghai Vancl E-Commerce Co., Ltd.</t>
  </si>
  <si>
    <t>上海凡客诚品电子商务有限公司</t>
  </si>
  <si>
    <t>E-Business</t>
    <phoneticPr fontId="1" type="noConversion"/>
  </si>
  <si>
    <t>Shanghai Guoguan Logistics Co., Ltd.</t>
  </si>
  <si>
    <t>上海国冠物流有限公司</t>
  </si>
  <si>
    <t>EE3</t>
    <phoneticPr fontId="1" type="noConversion"/>
  </si>
  <si>
    <t>Shanghai Haoyu Industrial Development Co., Ltd.</t>
  </si>
  <si>
    <t>上海豪禺实业发展有限公司</t>
  </si>
  <si>
    <t xml:space="preserve">Industry </t>
    <phoneticPr fontId="1" type="noConversion"/>
  </si>
  <si>
    <t>EE2</t>
    <phoneticPr fontId="1" type="noConversion"/>
  </si>
  <si>
    <t>EE2</t>
  </si>
  <si>
    <t>Shanghai Henghua Logistics Co., Ltd.</t>
  </si>
  <si>
    <t>上海恒华物流有限公司</t>
  </si>
  <si>
    <t>B2</t>
    <phoneticPr fontId="1" type="noConversion"/>
  </si>
  <si>
    <t>B2</t>
  </si>
  <si>
    <t>1,500,000RMB</t>
  </si>
  <si>
    <t>Shanghai Wherever Be Logistics Co., Ltd.</t>
  </si>
  <si>
    <t>上海汇锐比物流有限公司</t>
  </si>
  <si>
    <t>B3</t>
    <phoneticPr fontId="1" type="noConversion"/>
  </si>
  <si>
    <t>B3</t>
  </si>
  <si>
    <t>2,000,000RMB</t>
  </si>
  <si>
    <t>Shanghai Kunpeng Environmental Protection Technology Co., Ltd.</t>
  </si>
  <si>
    <t>上海鲲鹏环保科技有限公司</t>
  </si>
  <si>
    <t>1AA2</t>
    <phoneticPr fontId="1" type="noConversion"/>
  </si>
  <si>
    <t>1AA2</t>
  </si>
  <si>
    <t>6,000,000RMB</t>
  </si>
  <si>
    <t>Shanghai Lantu Wood Co., Ltd.</t>
  </si>
  <si>
    <t>上海蓝图木业有限公司</t>
  </si>
  <si>
    <t>Shanghai Lianyuan Logistics Co., Ltd.</t>
  </si>
  <si>
    <t>上海莲源物流有限公司</t>
  </si>
  <si>
    <t>Shanghai Lingang Industry Development Co., Ltd.</t>
  </si>
  <si>
    <t>上哈临港实业发展有限公司</t>
  </si>
  <si>
    <t xml:space="preserve">Industry </t>
    <phoneticPr fontId="1" type="noConversion"/>
  </si>
  <si>
    <t>Shanghai Manon Business Co., Ltd.</t>
  </si>
  <si>
    <t>Trading</t>
    <phoneticPr fontId="1" type="noConversion"/>
  </si>
  <si>
    <t>35,000,000RMB</t>
  </si>
  <si>
    <t>Shanghai Digital China Limited</t>
  </si>
  <si>
    <t>上海神州数码有限公司</t>
  </si>
  <si>
    <t>IT</t>
    <phoneticPr fontId="1" type="noConversion"/>
  </si>
  <si>
    <t>3AA1(PRV. 3A3)</t>
  </si>
  <si>
    <t>Shanghai Shubiao Logistics Co., Ltd.</t>
  </si>
  <si>
    <t>上海树标物流有限公司</t>
  </si>
  <si>
    <t>Shanghai Waigaoqiao Feichi Co., Ltd.</t>
  </si>
  <si>
    <t>上海外高桥飞驰有限公司</t>
  </si>
  <si>
    <t>N-</t>
    <phoneticPr fontId="1" type="noConversion"/>
  </si>
  <si>
    <t>N-</t>
  </si>
  <si>
    <t>Shanghai Waigaoqiao Logistics Center Co., Ltd.</t>
  </si>
  <si>
    <t>上海外高桥物流中心有限公司</t>
  </si>
  <si>
    <t>5A3</t>
    <phoneticPr fontId="1" type="noConversion"/>
  </si>
  <si>
    <t>5A3</t>
  </si>
  <si>
    <t>400,000,000RMB</t>
  </si>
  <si>
    <t>Shanghai Wanhuan International Freight Agency Co., Ltd.</t>
  </si>
  <si>
    <t>上海万环国际货运代理有限公司</t>
  </si>
  <si>
    <t>3A2</t>
    <phoneticPr fontId="1" type="noConversion"/>
  </si>
  <si>
    <t>3A2(PRV. 3A2)</t>
  </si>
  <si>
    <t>Shanghai Xitie Changfa International TruckingCo., Ltd.</t>
  </si>
  <si>
    <t>上海西铁长发国际货运有限公司</t>
  </si>
  <si>
    <t>Shanghai Xinyou Logistics Co., Ltd.</t>
  </si>
  <si>
    <t>上海新友物流有限公司</t>
  </si>
  <si>
    <t>C3</t>
    <phoneticPr fontId="1" type="noConversion"/>
  </si>
  <si>
    <t>C3</t>
  </si>
  <si>
    <t>Agility Logistics (Shanghai) Ltd.</t>
  </si>
  <si>
    <t>上海亚致力物流有限公司</t>
  </si>
  <si>
    <t>Shanghai Eternal Asia Logistics Co., Ltd.</t>
  </si>
  <si>
    <t>上海怡亚通物流有限公司</t>
  </si>
  <si>
    <t>Shanghai Lotus Supermarket Chain Store Co., Ltd.</t>
  </si>
  <si>
    <t xml:space="preserve"> 上海易初莲花连锁超市有限公司</t>
  </si>
  <si>
    <t>Supper market</t>
    <phoneticPr fontId="1" type="noConversion"/>
  </si>
  <si>
    <t>5AA-</t>
  </si>
  <si>
    <t>SAIC General Motors Sales Company Limited</t>
  </si>
  <si>
    <t>上汽通用汽车销售有限公司</t>
  </si>
  <si>
    <t>Auto</t>
    <phoneticPr fontId="1" type="noConversion"/>
  </si>
  <si>
    <t>Shenzhen Changlian International Logistics Co., Ltd.</t>
  </si>
  <si>
    <t>深圳畅联国际物流有限公司</t>
  </si>
  <si>
    <t>L</t>
    <phoneticPr fontId="1" type="noConversion"/>
  </si>
  <si>
    <t>Arvato Logistics Services China Ltd.</t>
  </si>
  <si>
    <t>深圳欧唯特物流服务有限公司</t>
  </si>
  <si>
    <t>Shenzhen Huatie Logistics Co., Ltd.</t>
  </si>
  <si>
    <t>深圳市华铁物流有限公司</t>
  </si>
  <si>
    <t>BB3</t>
  </si>
  <si>
    <t>Shenzhen Financial Supporting Services (CFSS) Co., Ltd.</t>
  </si>
  <si>
    <t>深圳市银雁金融配套服务有限公司</t>
  </si>
  <si>
    <t>Service</t>
    <phoneticPr fontId="1" type="noConversion"/>
  </si>
  <si>
    <t>60,000,000RMB</t>
  </si>
  <si>
    <t>Shenzhen ST-Anda Logistics Co., Ltd.</t>
  </si>
  <si>
    <t>深圳新科安达后勤保障有限公司</t>
  </si>
  <si>
    <t>Service</t>
    <phoneticPr fontId="1" type="noConversion"/>
  </si>
  <si>
    <t>4A</t>
    <phoneticPr fontId="1" type="noConversion"/>
  </si>
  <si>
    <t>4A-(PRV.4A-)</t>
  </si>
  <si>
    <t>Shenyang Suning Logistics Co., Ltd.</t>
  </si>
  <si>
    <t>沈阳苏宁物流有限公司</t>
  </si>
  <si>
    <t>L</t>
    <phoneticPr fontId="1" type="noConversion"/>
  </si>
  <si>
    <t>4AA-</t>
  </si>
  <si>
    <t>146,933,000RMB</t>
  </si>
  <si>
    <t>Sportmaster (Shanghai) Trading Co., Ltd.</t>
  </si>
  <si>
    <t>狮迈（上海）贸易有限公司</t>
  </si>
  <si>
    <t>T</t>
    <phoneticPr fontId="1" type="noConversion"/>
  </si>
  <si>
    <t>64,000,000RMB</t>
  </si>
  <si>
    <t>Schneider Electric (China) Co., Ltd.</t>
  </si>
  <si>
    <t>施耐德电器（中国）有限公司</t>
  </si>
  <si>
    <t xml:space="preserve">Electric </t>
    <phoneticPr fontId="1" type="noConversion"/>
  </si>
  <si>
    <t>Suzhou Junyao Photoelectric Co., Ltd.</t>
  </si>
  <si>
    <t>苏州君耀光电有限公司</t>
  </si>
  <si>
    <t>Electric</t>
    <phoneticPr fontId="1" type="noConversion"/>
  </si>
  <si>
    <t>Suzhou Baoleantone Logistics Co., Ltd.</t>
  </si>
  <si>
    <t>苏州市宝连通国际货运代理有限公司</t>
  </si>
  <si>
    <t>L</t>
    <phoneticPr fontId="1" type="noConversion"/>
  </si>
  <si>
    <t>Cal-Comp Technology (Suzhou) Co., Ltd.</t>
  </si>
  <si>
    <t>泰金宝科技（苏州）有限公司</t>
  </si>
  <si>
    <t>Technology</t>
    <phoneticPr fontId="1" type="noConversion"/>
  </si>
  <si>
    <t>4A3</t>
    <phoneticPr fontId="1" type="noConversion"/>
  </si>
  <si>
    <t>4A3(PRV.O4)</t>
  </si>
  <si>
    <t>Tesco Management (Shanghai) Investment Co., Ltd.</t>
  </si>
  <si>
    <t>特意购乐购（中国）投资有限公司</t>
  </si>
  <si>
    <t>Supper market</t>
    <phoneticPr fontId="1" type="noConversion"/>
  </si>
  <si>
    <t>3AA3</t>
    <phoneticPr fontId="1" type="noConversion"/>
  </si>
  <si>
    <t>Tianjin Redox Logistics Co., Ltd.</t>
  </si>
  <si>
    <t>天津睿博龙物流有限公司</t>
  </si>
  <si>
    <t>2AA-</t>
    <phoneticPr fontId="1" type="noConversion"/>
  </si>
  <si>
    <t>2AA-</t>
  </si>
  <si>
    <t>7,9000,684RMB</t>
  </si>
  <si>
    <t>Tianjin Greenergy Logistics Co., Ltd.</t>
  </si>
  <si>
    <t>天津睿能物流有限公司</t>
  </si>
  <si>
    <t>1A2</t>
    <phoneticPr fontId="1" type="noConversion"/>
  </si>
  <si>
    <t>1A2</t>
  </si>
  <si>
    <t>Tianjin Wuqing Development Real Estate Investment Co., Ltd.</t>
  </si>
  <si>
    <t>天津市武清开发区置业投资有限公司</t>
  </si>
  <si>
    <t>Investment</t>
    <phoneticPr fontId="1" type="noConversion"/>
  </si>
  <si>
    <t>3A3</t>
    <phoneticPr fontId="1" type="noConversion"/>
  </si>
  <si>
    <t>Tianjin Xiqing Economic Development General Company</t>
  </si>
  <si>
    <t>天津市西青经济开发总公司</t>
  </si>
  <si>
    <t>3AA2</t>
    <phoneticPr fontId="1" type="noConversion"/>
  </si>
  <si>
    <t>15,200,000RMB</t>
  </si>
  <si>
    <t>Tianjin New Technology Industrial Park Wuqing Development Zone General Company</t>
  </si>
  <si>
    <t>天津新技术产业园区武清开发区总公司</t>
  </si>
  <si>
    <t>5A2</t>
    <phoneticPr fontId="1" type="noConversion"/>
  </si>
  <si>
    <t>5,049,358,000RMB</t>
  </si>
  <si>
    <t>Guangzhou Vipshop Information Technology Co., Ltd.</t>
  </si>
  <si>
    <t>广州唯品会信息科技有限公司</t>
  </si>
  <si>
    <t>Information technology</t>
    <phoneticPr fontId="1" type="noConversion"/>
  </si>
  <si>
    <t>N-</t>
    <phoneticPr fontId="1" type="noConversion"/>
  </si>
  <si>
    <t>N-(PRV.O-)</t>
  </si>
  <si>
    <t>Wuhan Watsons Personal Products Store Co., Ltd.</t>
  </si>
  <si>
    <t>武汉屈臣氏个人用品商店有限公司</t>
  </si>
  <si>
    <t>Other</t>
    <phoneticPr fontId="1" type="noConversion"/>
  </si>
  <si>
    <t>24,280,000RMB</t>
  </si>
  <si>
    <t>Xi'an Guangyuan Freight Logistics Management Consulting Services Ltd.</t>
  </si>
  <si>
    <t>西安广源货运物流管理咨询服务有限公司</t>
  </si>
  <si>
    <t>1A3</t>
    <phoneticPr fontId="1" type="noConversion"/>
  </si>
  <si>
    <t>Samsonite International Trading (Ningbo) Co., Ltd.</t>
  </si>
  <si>
    <t>新秀丽国际贸易（宁波）有限公司</t>
  </si>
  <si>
    <t>Trading</t>
    <phoneticPr fontId="1" type="noConversion"/>
  </si>
  <si>
    <t>4A1</t>
    <phoneticPr fontId="1" type="noConversion"/>
  </si>
  <si>
    <t>Yamato International Logistics Co., Ltd.</t>
  </si>
  <si>
    <t>雅玛多国际物流有限公司</t>
  </si>
  <si>
    <t>Amazon Information Services (Beijing) Co., Ltd.</t>
  </si>
  <si>
    <t>亚马逊信息服务（北京）有限公司</t>
  </si>
  <si>
    <t xml:space="preserve">5A2(PRV.4A3) </t>
  </si>
  <si>
    <t>AmazonJoyo Co., Ltd.</t>
  </si>
  <si>
    <t>亚马逊卓越有限公司</t>
  </si>
  <si>
    <t>E-business</t>
    <phoneticPr fontId="1" type="noConversion"/>
  </si>
  <si>
    <t>4AA-</t>
    <phoneticPr fontId="1" type="noConversion"/>
  </si>
  <si>
    <t>216,000,000RMB</t>
  </si>
  <si>
    <t>Yixing Alliance Building Materials Company Limited</t>
  </si>
  <si>
    <t>宜兴能联建材有限公司</t>
  </si>
  <si>
    <t>3AA-</t>
    <phoneticPr fontId="1" type="noConversion"/>
  </si>
  <si>
    <t>China Merchants Logistics Group Beijing Co., Ltd.</t>
  </si>
  <si>
    <t xml:space="preserve"> 招商局物流集团北京有限公司</t>
  </si>
  <si>
    <t>CMT International Logistics Group Co., Ltd.</t>
  </si>
  <si>
    <t>中床国际物流集团有限公司</t>
  </si>
  <si>
    <t>China United Network Communications Corporation Limited</t>
  </si>
  <si>
    <t>上海联合网络通信有限公司</t>
  </si>
  <si>
    <t>5AA-</t>
    <phoneticPr fontId="1" type="noConversion"/>
  </si>
  <si>
    <t>138,091,677,827RMB</t>
  </si>
  <si>
    <t>Sinotrans Logistics Development Co., Ltd.</t>
  </si>
  <si>
    <t>上海外运物流发展有限公司</t>
  </si>
  <si>
    <t>120,000,000RMB</t>
  </si>
  <si>
    <t>Cofco Innovation Food (Beijing) Co., Ltd.</t>
  </si>
  <si>
    <t>中粮创新食品（北京）有限公司</t>
  </si>
  <si>
    <t>Food</t>
    <phoneticPr fontId="1" type="noConversion"/>
  </si>
  <si>
    <t>0-</t>
    <phoneticPr fontId="1" type="noConversion"/>
  </si>
  <si>
    <t>O-</t>
  </si>
  <si>
    <t>Zhongshan Baohao Trade Co., Ltd.</t>
  </si>
  <si>
    <t>中山市宝昊贸易有限公司</t>
  </si>
  <si>
    <t>DD3</t>
    <phoneticPr fontId="1" type="noConversion"/>
  </si>
  <si>
    <t>DD3</t>
  </si>
  <si>
    <t>990,000RMB</t>
  </si>
  <si>
    <t>Chongqing Haibang Logistics Co., Ltd.</t>
  </si>
  <si>
    <t>重庆海邦物流有限公司</t>
  </si>
  <si>
    <t>1AA-</t>
    <phoneticPr fontId="1" type="noConversion"/>
  </si>
  <si>
    <t>Chongqing kk-Qianwei Windpower Equipment Co., Ltd.</t>
  </si>
  <si>
    <t>重庆科凯前卫风电设备有限责任公司</t>
  </si>
  <si>
    <t xml:space="preserve">Industry </t>
    <phoneticPr fontId="1" type="noConversion"/>
  </si>
  <si>
    <t>40,000,000RMB</t>
  </si>
  <si>
    <t>Chongqing Liangjiang New Area Development &amp; Investment Group Co., Ltd.</t>
  </si>
  <si>
    <t>重庆两江新开发区投资集团有限公司</t>
  </si>
  <si>
    <t>5AA2</t>
    <phoneticPr fontId="1" type="noConversion"/>
  </si>
  <si>
    <t>10,000,000,000RMB</t>
  </si>
  <si>
    <t>Chongqing Tianguang Logistics Co., Ltd.</t>
  </si>
  <si>
    <t>重庆添光物流有限公司</t>
  </si>
  <si>
    <t>AA-</t>
    <phoneticPr fontId="1" type="noConversion"/>
  </si>
  <si>
    <t>Chongqing Xinrong Logistics Co., Ltd.</t>
  </si>
  <si>
    <t>重庆欣荣物流有限公司</t>
  </si>
  <si>
    <t>EE-</t>
    <phoneticPr fontId="1" type="noConversion"/>
  </si>
  <si>
    <t>Chongqing Yanfeng Johnson Seating Co., Ltd.</t>
  </si>
  <si>
    <t>重庆延峰江森座椅有限公司</t>
  </si>
  <si>
    <t>3AA2(PRV. --)</t>
  </si>
  <si>
    <t>Chongqing Zhongse Transport Co., Ltd.</t>
  </si>
  <si>
    <t>重庆市中色货运有限公司</t>
  </si>
  <si>
    <t>EE3</t>
    <phoneticPr fontId="1" type="noConversion"/>
  </si>
  <si>
    <t>Chongqing Zhongshi Fashion Shopping Co., Ltd.</t>
  </si>
  <si>
    <t>重庆重视时尚购物有限公司</t>
  </si>
  <si>
    <t>1AA2</t>
    <phoneticPr fontId="1" type="noConversion"/>
  </si>
  <si>
    <t>Chongqing Sumisho Yunxin Logistics Co., Ltd.</t>
  </si>
  <si>
    <t>重庆住商云信物流有限公司</t>
  </si>
  <si>
    <t>Sumisho Global Logistics (China) Co., Ltd.</t>
  </si>
  <si>
    <t>住商国际物流（上海）有限公司</t>
  </si>
  <si>
    <t>3A1</t>
    <phoneticPr fontId="1" type="noConversion"/>
  </si>
  <si>
    <t>3A1(PRV. 3A1)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</si>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</sst>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&quot;¥&quot;#,##0_);[Red]\(&quot;¥&quot;#,##0\)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Arial Unicode MS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12"/>
      <color rgb="FFFF0000"/>
      <name val="宋体"/>
      <family val="2"/>
      <scheme val="minor"/>
    </font>
    <font>
      <sz val="12"/>
      <color theme="1"/>
      <name val="宋体"/>
      <family val="2"/>
      <charset val="134"/>
    </font>
    <font>
      <sz val="12"/>
      <color rgb="FFFF0000"/>
      <name val="宋体"/>
      <family val="3"/>
      <charset val="134"/>
      <scheme val="minor"/>
    </font>
    <font>
      <sz val="11"/>
      <color rgb="FFFF0000"/>
      <name val="Arial Unicode MS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6FC94B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 applyAlignment="1">
      <alignment wrapText="1"/>
    </xf>
    <xf numFmtId="0" fontId="0" fillId="0" borderId="0" xfId="0" applyAlignment="1">
      <alignment wrapText="1"/>
    </xf>
    <xf numFmtId="17" fontId="2" fillId="2" borderId="0" xfId="0" applyNumberFormat="1" applyFont="1" applyFill="1" applyAlignment="1">
      <alignment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Alignment="1">
      <alignment horizontal="left"/>
    </xf>
    <xf numFmtId="176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7" fillId="0" borderId="0" xfId="0" applyFont="1"/>
    <xf numFmtId="176" fontId="0" fillId="0" borderId="0" xfId="1" applyNumberFormat="1" applyFont="1" applyAlignment="1">
      <alignment horizontal="right"/>
    </xf>
    <xf numFmtId="0" fontId="2" fillId="3" borderId="0" xfId="0" applyFont="1" applyFill="1" applyAlignment="1">
      <alignment horizontal="left"/>
    </xf>
    <xf numFmtId="0" fontId="8" fillId="3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176" fontId="2" fillId="3" borderId="0" xfId="0" applyNumberFormat="1" applyFont="1" applyFill="1" applyAlignment="1">
      <alignment horizontal="right"/>
    </xf>
    <xf numFmtId="0" fontId="2" fillId="3" borderId="0" xfId="0" applyFont="1" applyFill="1" applyAlignment="1">
      <alignment wrapText="1"/>
    </xf>
    <xf numFmtId="17" fontId="2" fillId="3" borderId="0" xfId="0" applyNumberFormat="1" applyFont="1" applyFill="1" applyAlignment="1">
      <alignment wrapText="1"/>
    </xf>
    <xf numFmtId="0" fontId="2" fillId="3" borderId="0" xfId="0" applyFont="1" applyFill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Medium9"/>
  <colors>
    <mruColors>
      <color rgb="FF6FC94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123825</xdr:rowOff>
        </xdr:from>
        <xdr:to>
          <xdr:col>12</xdr:col>
          <xdr:colOff>600075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Leasing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</xdr:row>
          <xdr:rowOff>123825</xdr:rowOff>
        </xdr:from>
        <xdr:to>
          <xdr:col>12</xdr:col>
          <xdr:colOff>628650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Leasing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AA@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52"/>
  <sheetViews>
    <sheetView workbookViewId="0">
      <selection activeCell="F1" sqref="F1:K1"/>
    </sheetView>
  </sheetViews>
  <sheetFormatPr defaultRowHeight="13.5" x14ac:dyDescent="0.15"/>
  <cols>
    <col min="1" max="1" width="23.125" style="2" customWidth="1"/>
    <col min="2" max="2" width="14" customWidth="1"/>
    <col min="3" max="3" width="10.625" customWidth="1"/>
    <col min="4" max="4" width="9.875" customWidth="1"/>
    <col min="5" max="5" width="11.25" customWidth="1"/>
    <col min="6" max="6" width="15.125" customWidth="1"/>
    <col min="7" max="7" width="18.5" customWidth="1"/>
  </cols>
  <sheetData>
    <row r="1" spans="1:11" s="1" customFormat="1" ht="48.75" customHeight="1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136</v>
      </c>
      <c r="G1" s="1" t="s">
        <v>135</v>
      </c>
      <c r="H1" s="1" t="s">
        <v>137</v>
      </c>
      <c r="I1" s="3" t="s">
        <v>138</v>
      </c>
      <c r="J1" s="1" t="s">
        <v>139</v>
      </c>
      <c r="K1" s="1" t="s">
        <v>140</v>
      </c>
    </row>
    <row r="2" spans="1:11" x14ac:dyDescent="0.15">
      <c r="A2" s="2" t="s">
        <v>7</v>
      </c>
      <c r="B2" t="s">
        <v>2</v>
      </c>
      <c r="C2">
        <v>6</v>
      </c>
      <c r="D2" t="s">
        <v>5</v>
      </c>
      <c r="E2">
        <v>3</v>
      </c>
      <c r="F2" t="s">
        <v>142</v>
      </c>
      <c r="G2" t="s">
        <v>142</v>
      </c>
      <c r="H2" t="s">
        <v>142</v>
      </c>
      <c r="I2" t="s">
        <v>142</v>
      </c>
      <c r="J2" t="s">
        <v>142</v>
      </c>
      <c r="K2" t="s">
        <v>142</v>
      </c>
    </row>
    <row r="3" spans="1:11" x14ac:dyDescent="0.15">
      <c r="A3" s="2" t="s">
        <v>141</v>
      </c>
      <c r="B3" t="s">
        <v>8</v>
      </c>
      <c r="C3">
        <v>4</v>
      </c>
      <c r="D3" t="s">
        <v>9</v>
      </c>
      <c r="E3">
        <v>2</v>
      </c>
      <c r="F3" t="s">
        <v>144</v>
      </c>
      <c r="G3" t="s">
        <v>145</v>
      </c>
      <c r="H3" t="s">
        <v>143</v>
      </c>
      <c r="I3" t="s">
        <v>143</v>
      </c>
      <c r="J3" t="s">
        <v>143</v>
      </c>
      <c r="K3" t="s">
        <v>143</v>
      </c>
    </row>
    <row r="4" spans="1:11" x14ac:dyDescent="0.15">
      <c r="A4" s="2" t="s">
        <v>13</v>
      </c>
      <c r="B4" t="s">
        <v>10</v>
      </c>
      <c r="C4">
        <v>8</v>
      </c>
      <c r="D4" t="s">
        <v>12</v>
      </c>
      <c r="E4" t="s">
        <v>11</v>
      </c>
      <c r="F4" t="s">
        <v>144</v>
      </c>
      <c r="G4" t="s">
        <v>145</v>
      </c>
      <c r="H4" t="s">
        <v>145</v>
      </c>
      <c r="I4" t="s">
        <v>145</v>
      </c>
      <c r="J4" t="s">
        <v>143</v>
      </c>
      <c r="K4" t="s">
        <v>143</v>
      </c>
    </row>
    <row r="5" spans="1:11" x14ac:dyDescent="0.15">
      <c r="A5" s="2" t="s">
        <v>14</v>
      </c>
      <c r="B5" t="s">
        <v>15</v>
      </c>
      <c r="C5">
        <v>7</v>
      </c>
      <c r="D5" t="s">
        <v>16</v>
      </c>
      <c r="E5">
        <v>3</v>
      </c>
      <c r="F5" t="s">
        <v>143</v>
      </c>
      <c r="G5" t="s">
        <v>143</v>
      </c>
      <c r="H5" t="s">
        <v>143</v>
      </c>
      <c r="I5" t="s">
        <v>143</v>
      </c>
      <c r="J5" t="s">
        <v>143</v>
      </c>
      <c r="K5" t="s">
        <v>143</v>
      </c>
    </row>
    <row r="6" spans="1:11" x14ac:dyDescent="0.15">
      <c r="A6" s="2" t="s">
        <v>17</v>
      </c>
      <c r="B6" t="s">
        <v>18</v>
      </c>
      <c r="C6">
        <v>5</v>
      </c>
      <c r="D6" t="s">
        <v>124</v>
      </c>
      <c r="E6">
        <v>2</v>
      </c>
      <c r="F6" t="s">
        <v>144</v>
      </c>
      <c r="G6" t="s">
        <v>145</v>
      </c>
      <c r="H6" t="s">
        <v>145</v>
      </c>
      <c r="I6" t="s">
        <v>145</v>
      </c>
      <c r="J6" t="s">
        <v>145</v>
      </c>
      <c r="K6" t="s">
        <v>143</v>
      </c>
    </row>
    <row r="7" spans="1:11" ht="33.75" customHeight="1" x14ac:dyDescent="0.15">
      <c r="A7" s="2" t="s">
        <v>19</v>
      </c>
      <c r="B7" t="s">
        <v>20</v>
      </c>
      <c r="C7">
        <v>8</v>
      </c>
      <c r="D7" t="s">
        <v>21</v>
      </c>
      <c r="E7">
        <v>3</v>
      </c>
      <c r="F7" t="s">
        <v>143</v>
      </c>
      <c r="G7" t="s">
        <v>143</v>
      </c>
      <c r="H7" t="s">
        <v>143</v>
      </c>
      <c r="I7" t="s">
        <v>143</v>
      </c>
      <c r="J7" t="s">
        <v>143</v>
      </c>
      <c r="K7" t="s">
        <v>143</v>
      </c>
    </row>
    <row r="8" spans="1:11" ht="15" customHeight="1" x14ac:dyDescent="0.15">
      <c r="A8" s="2" t="s">
        <v>24</v>
      </c>
      <c r="B8" t="s">
        <v>22</v>
      </c>
      <c r="C8">
        <v>5</v>
      </c>
      <c r="D8" t="s">
        <v>23</v>
      </c>
      <c r="E8">
        <v>2</v>
      </c>
      <c r="F8" t="s">
        <v>143</v>
      </c>
      <c r="G8" t="s">
        <v>143</v>
      </c>
      <c r="H8" t="s">
        <v>143</v>
      </c>
      <c r="I8" t="s">
        <v>143</v>
      </c>
      <c r="J8" t="s">
        <v>143</v>
      </c>
      <c r="K8" t="s">
        <v>143</v>
      </c>
    </row>
    <row r="9" spans="1:11" ht="28.5" customHeight="1" x14ac:dyDescent="0.15">
      <c r="A9" s="2" t="s">
        <v>29</v>
      </c>
      <c r="B9" t="s">
        <v>25</v>
      </c>
      <c r="C9" t="s">
        <v>26</v>
      </c>
      <c r="D9" t="s">
        <v>28</v>
      </c>
      <c r="E9" t="s">
        <v>27</v>
      </c>
      <c r="F9" t="s">
        <v>143</v>
      </c>
      <c r="G9" t="s">
        <v>143</v>
      </c>
      <c r="H9" t="s">
        <v>143</v>
      </c>
      <c r="I9" t="s">
        <v>143</v>
      </c>
      <c r="J9" t="s">
        <v>143</v>
      </c>
      <c r="K9" t="s">
        <v>143</v>
      </c>
    </row>
    <row r="10" spans="1:11" x14ac:dyDescent="0.15">
      <c r="A10" s="2" t="s">
        <v>32</v>
      </c>
      <c r="B10" t="s">
        <v>30</v>
      </c>
      <c r="C10">
        <v>6</v>
      </c>
      <c r="D10" t="s">
        <v>31</v>
      </c>
      <c r="E10">
        <v>3</v>
      </c>
      <c r="F10" t="s">
        <v>144</v>
      </c>
      <c r="G10" t="s">
        <v>145</v>
      </c>
      <c r="H10" t="s">
        <v>145</v>
      </c>
      <c r="I10" t="s">
        <v>143</v>
      </c>
      <c r="J10" t="s">
        <v>143</v>
      </c>
      <c r="K10" t="s">
        <v>143</v>
      </c>
    </row>
    <row r="11" spans="1:11" x14ac:dyDescent="0.15">
      <c r="A11" s="2" t="s">
        <v>33</v>
      </c>
      <c r="B11" t="s">
        <v>34</v>
      </c>
      <c r="C11">
        <v>5</v>
      </c>
      <c r="D11" t="s">
        <v>35</v>
      </c>
      <c r="E11">
        <v>2</v>
      </c>
      <c r="F11" t="s">
        <v>144</v>
      </c>
      <c r="G11" t="s">
        <v>145</v>
      </c>
      <c r="H11" t="s">
        <v>145</v>
      </c>
      <c r="I11" t="s">
        <v>145</v>
      </c>
      <c r="J11" t="s">
        <v>143</v>
      </c>
      <c r="K11" t="s">
        <v>143</v>
      </c>
    </row>
    <row r="12" spans="1:11" ht="27" x14ac:dyDescent="0.15">
      <c r="A12" s="2" t="s">
        <v>36</v>
      </c>
      <c r="B12" t="s">
        <v>37</v>
      </c>
      <c r="C12">
        <v>8</v>
      </c>
      <c r="D12" t="s">
        <v>38</v>
      </c>
      <c r="E12">
        <v>3</v>
      </c>
      <c r="F12" t="s">
        <v>143</v>
      </c>
      <c r="G12" t="s">
        <v>143</v>
      </c>
      <c r="H12" t="s">
        <v>143</v>
      </c>
      <c r="I12" t="s">
        <v>143</v>
      </c>
      <c r="J12" t="s">
        <v>143</v>
      </c>
      <c r="K12" t="s">
        <v>143</v>
      </c>
    </row>
    <row r="13" spans="1:11" ht="27" x14ac:dyDescent="0.15">
      <c r="A13" s="2" t="s">
        <v>39</v>
      </c>
      <c r="B13" t="s">
        <v>40</v>
      </c>
      <c r="C13">
        <v>6</v>
      </c>
      <c r="D13" t="s">
        <v>41</v>
      </c>
      <c r="E13">
        <v>3</v>
      </c>
      <c r="F13" t="s">
        <v>143</v>
      </c>
      <c r="G13" t="s">
        <v>143</v>
      </c>
      <c r="H13" t="s">
        <v>143</v>
      </c>
      <c r="I13" t="s">
        <v>143</v>
      </c>
      <c r="J13" t="s">
        <v>143</v>
      </c>
      <c r="K13" t="s">
        <v>143</v>
      </c>
    </row>
    <row r="14" spans="1:11" x14ac:dyDescent="0.15">
      <c r="A14" s="2" t="s">
        <v>42</v>
      </c>
      <c r="B14" t="s">
        <v>43</v>
      </c>
      <c r="C14">
        <v>7</v>
      </c>
      <c r="D14" t="s">
        <v>44</v>
      </c>
      <c r="E14">
        <v>3</v>
      </c>
      <c r="F14" t="s">
        <v>143</v>
      </c>
      <c r="G14" t="s">
        <v>143</v>
      </c>
      <c r="H14" t="s">
        <v>143</v>
      </c>
      <c r="I14" t="s">
        <v>143</v>
      </c>
      <c r="J14" t="s">
        <v>143</v>
      </c>
      <c r="K14" t="s">
        <v>143</v>
      </c>
    </row>
    <row r="15" spans="1:11" x14ac:dyDescent="0.15">
      <c r="A15" s="2" t="s">
        <v>45</v>
      </c>
      <c r="B15" t="s">
        <v>46</v>
      </c>
      <c r="C15">
        <v>4</v>
      </c>
      <c r="D15" t="s">
        <v>47</v>
      </c>
      <c r="E15" t="s">
        <v>27</v>
      </c>
      <c r="F15" t="s">
        <v>143</v>
      </c>
      <c r="G15" t="s">
        <v>143</v>
      </c>
      <c r="H15" t="s">
        <v>143</v>
      </c>
      <c r="I15" t="s">
        <v>143</v>
      </c>
      <c r="J15" t="s">
        <v>143</v>
      </c>
      <c r="K15" t="s">
        <v>143</v>
      </c>
    </row>
    <row r="16" spans="1:11" ht="27" x14ac:dyDescent="0.15">
      <c r="A16" s="2" t="s">
        <v>48</v>
      </c>
      <c r="B16" t="s">
        <v>49</v>
      </c>
      <c r="C16">
        <v>8</v>
      </c>
      <c r="D16" t="s">
        <v>50</v>
      </c>
      <c r="E16" t="s">
        <v>27</v>
      </c>
      <c r="F16" t="s">
        <v>143</v>
      </c>
      <c r="G16" t="s">
        <v>143</v>
      </c>
      <c r="H16" t="s">
        <v>143</v>
      </c>
      <c r="I16" t="s">
        <v>143</v>
      </c>
      <c r="J16" t="s">
        <v>143</v>
      </c>
      <c r="K16" t="s">
        <v>143</v>
      </c>
    </row>
    <row r="17" spans="1:11" x14ac:dyDescent="0.15">
      <c r="A17" s="2" t="s">
        <v>51</v>
      </c>
      <c r="B17" t="s">
        <v>52</v>
      </c>
      <c r="C17">
        <v>8</v>
      </c>
      <c r="D17" t="s">
        <v>50</v>
      </c>
      <c r="E17" t="s">
        <v>27</v>
      </c>
      <c r="F17" t="s">
        <v>144</v>
      </c>
      <c r="G17" t="s">
        <v>145</v>
      </c>
      <c r="H17" t="s">
        <v>145</v>
      </c>
      <c r="I17" t="s">
        <v>143</v>
      </c>
      <c r="J17" t="s">
        <v>143</v>
      </c>
      <c r="K17" t="s">
        <v>143</v>
      </c>
    </row>
    <row r="18" spans="1:11" x14ac:dyDescent="0.15">
      <c r="A18" s="2" t="s">
        <v>53</v>
      </c>
      <c r="B18" t="s">
        <v>54</v>
      </c>
      <c r="C18">
        <v>8</v>
      </c>
      <c r="D18" t="s">
        <v>55</v>
      </c>
      <c r="E18">
        <v>3</v>
      </c>
      <c r="F18" t="s">
        <v>143</v>
      </c>
      <c r="G18" t="s">
        <v>143</v>
      </c>
      <c r="H18" t="s">
        <v>143</v>
      </c>
      <c r="I18" t="s">
        <v>143</v>
      </c>
      <c r="J18" t="s">
        <v>143</v>
      </c>
      <c r="K18" t="s">
        <v>143</v>
      </c>
    </row>
    <row r="19" spans="1:11" ht="27" x14ac:dyDescent="0.15">
      <c r="A19" s="2" t="s">
        <v>56</v>
      </c>
      <c r="B19" t="s">
        <v>57</v>
      </c>
      <c r="C19">
        <v>5</v>
      </c>
      <c r="D19" t="s">
        <v>50</v>
      </c>
      <c r="E19" t="s">
        <v>27</v>
      </c>
      <c r="F19" t="s">
        <v>144</v>
      </c>
      <c r="G19" t="s">
        <v>145</v>
      </c>
      <c r="H19" t="s">
        <v>143</v>
      </c>
      <c r="I19" t="s">
        <v>143</v>
      </c>
      <c r="J19" t="s">
        <v>145</v>
      </c>
      <c r="K19" t="s">
        <v>143</v>
      </c>
    </row>
    <row r="20" spans="1:11" x14ac:dyDescent="0.15">
      <c r="A20" s="2" t="s">
        <v>58</v>
      </c>
      <c r="B20" t="s">
        <v>59</v>
      </c>
      <c r="C20">
        <v>5</v>
      </c>
      <c r="D20" t="s">
        <v>50</v>
      </c>
      <c r="E20" t="s">
        <v>27</v>
      </c>
      <c r="F20" t="s">
        <v>143</v>
      </c>
      <c r="G20" t="s">
        <v>143</v>
      </c>
      <c r="H20" t="s">
        <v>143</v>
      </c>
      <c r="I20" t="s">
        <v>143</v>
      </c>
      <c r="J20" t="s">
        <v>143</v>
      </c>
      <c r="K20" t="s">
        <v>143</v>
      </c>
    </row>
    <row r="21" spans="1:11" ht="27" x14ac:dyDescent="0.15">
      <c r="A21" s="2" t="s">
        <v>60</v>
      </c>
      <c r="B21" t="s">
        <v>61</v>
      </c>
      <c r="C21">
        <v>7</v>
      </c>
      <c r="D21" t="s">
        <v>62</v>
      </c>
      <c r="E21">
        <v>3</v>
      </c>
      <c r="F21" t="s">
        <v>143</v>
      </c>
      <c r="G21" t="s">
        <v>143</v>
      </c>
      <c r="H21" t="s">
        <v>143</v>
      </c>
      <c r="I21" t="s">
        <v>143</v>
      </c>
      <c r="J21" t="s">
        <v>143</v>
      </c>
      <c r="K21" t="s">
        <v>143</v>
      </c>
    </row>
    <row r="22" spans="1:11" x14ac:dyDescent="0.15">
      <c r="A22" s="2" t="s">
        <v>63</v>
      </c>
      <c r="B22" t="s">
        <v>64</v>
      </c>
      <c r="C22">
        <v>4</v>
      </c>
      <c r="D22" t="s">
        <v>9</v>
      </c>
      <c r="E22">
        <v>2</v>
      </c>
      <c r="F22" t="s">
        <v>142</v>
      </c>
      <c r="G22" t="s">
        <v>143</v>
      </c>
      <c r="H22" t="s">
        <v>143</v>
      </c>
      <c r="I22" t="s">
        <v>143</v>
      </c>
      <c r="J22" t="s">
        <v>143</v>
      </c>
      <c r="K22" t="s">
        <v>143</v>
      </c>
    </row>
    <row r="23" spans="1:11" ht="27" x14ac:dyDescent="0.15">
      <c r="A23" s="2" t="s">
        <v>65</v>
      </c>
      <c r="B23" t="s">
        <v>8</v>
      </c>
      <c r="C23">
        <v>5</v>
      </c>
      <c r="D23" t="s">
        <v>66</v>
      </c>
      <c r="E23">
        <v>2</v>
      </c>
      <c r="F23" t="s">
        <v>144</v>
      </c>
      <c r="G23" t="s">
        <v>145</v>
      </c>
      <c r="H23" t="s">
        <v>143</v>
      </c>
      <c r="I23" t="s">
        <v>143</v>
      </c>
      <c r="J23" t="s">
        <v>143</v>
      </c>
      <c r="K23" t="s">
        <v>143</v>
      </c>
    </row>
    <row r="24" spans="1:11" x14ac:dyDescent="0.15">
      <c r="A24" s="2" t="s">
        <v>67</v>
      </c>
      <c r="B24" t="s">
        <v>10</v>
      </c>
      <c r="C24">
        <v>3</v>
      </c>
      <c r="D24" t="s">
        <v>9</v>
      </c>
      <c r="E24">
        <v>2</v>
      </c>
      <c r="F24" t="s">
        <v>144</v>
      </c>
      <c r="G24" t="s">
        <v>145</v>
      </c>
      <c r="H24" t="s">
        <v>145</v>
      </c>
      <c r="I24" t="s">
        <v>143</v>
      </c>
      <c r="J24" t="s">
        <v>143</v>
      </c>
      <c r="K24" t="s">
        <v>143</v>
      </c>
    </row>
    <row r="25" spans="1:11" ht="27" x14ac:dyDescent="0.15">
      <c r="A25" s="2" t="s">
        <v>68</v>
      </c>
      <c r="B25" t="s">
        <v>69</v>
      </c>
      <c r="C25">
        <v>5</v>
      </c>
      <c r="D25" t="s">
        <v>9</v>
      </c>
      <c r="E25">
        <v>2</v>
      </c>
      <c r="F25" t="s">
        <v>143</v>
      </c>
      <c r="G25" t="s">
        <v>143</v>
      </c>
      <c r="H25" t="s">
        <v>143</v>
      </c>
      <c r="I25" t="s">
        <v>143</v>
      </c>
      <c r="J25" t="s">
        <v>143</v>
      </c>
      <c r="K25" t="s">
        <v>143</v>
      </c>
    </row>
    <row r="26" spans="1:11" ht="27" x14ac:dyDescent="0.15">
      <c r="A26" s="2" t="s">
        <v>70</v>
      </c>
      <c r="B26" t="s">
        <v>71</v>
      </c>
      <c r="C26">
        <v>6</v>
      </c>
      <c r="D26" t="s">
        <v>44</v>
      </c>
      <c r="E26">
        <v>3</v>
      </c>
      <c r="F26" t="s">
        <v>144</v>
      </c>
      <c r="G26" t="s">
        <v>145</v>
      </c>
      <c r="H26" t="s">
        <v>143</v>
      </c>
      <c r="I26" t="s">
        <v>143</v>
      </c>
      <c r="J26" t="s">
        <v>143</v>
      </c>
      <c r="K26" t="s">
        <v>143</v>
      </c>
    </row>
    <row r="27" spans="1:11" ht="27" x14ac:dyDescent="0.15">
      <c r="A27" s="2" t="s">
        <v>72</v>
      </c>
      <c r="B27" t="s">
        <v>73</v>
      </c>
      <c r="C27">
        <v>7</v>
      </c>
      <c r="D27" t="s">
        <v>41</v>
      </c>
      <c r="E27">
        <v>3</v>
      </c>
      <c r="F27" t="s">
        <v>144</v>
      </c>
      <c r="G27" t="s">
        <v>145</v>
      </c>
      <c r="H27" t="s">
        <v>143</v>
      </c>
      <c r="I27" t="s">
        <v>143</v>
      </c>
      <c r="J27" t="s">
        <v>143</v>
      </c>
      <c r="K27" t="s">
        <v>143</v>
      </c>
    </row>
    <row r="28" spans="1:11" x14ac:dyDescent="0.15">
      <c r="A28" s="2" t="s">
        <v>74</v>
      </c>
      <c r="B28" t="s">
        <v>75</v>
      </c>
      <c r="C28">
        <v>6</v>
      </c>
      <c r="D28" t="s">
        <v>76</v>
      </c>
      <c r="E28">
        <v>3</v>
      </c>
      <c r="F28" t="s">
        <v>144</v>
      </c>
      <c r="G28" t="s">
        <v>145</v>
      </c>
      <c r="H28" t="s">
        <v>143</v>
      </c>
      <c r="I28" t="s">
        <v>143</v>
      </c>
      <c r="J28" t="s">
        <v>143</v>
      </c>
      <c r="K28" t="s">
        <v>143</v>
      </c>
    </row>
    <row r="29" spans="1:11" x14ac:dyDescent="0.15">
      <c r="A29" s="2" t="s">
        <v>77</v>
      </c>
      <c r="B29" t="s">
        <v>79</v>
      </c>
      <c r="C29">
        <v>3</v>
      </c>
      <c r="D29" t="s">
        <v>9</v>
      </c>
      <c r="E29">
        <v>2</v>
      </c>
      <c r="F29" t="s">
        <v>144</v>
      </c>
      <c r="G29" t="s">
        <v>145</v>
      </c>
      <c r="H29" t="s">
        <v>145</v>
      </c>
      <c r="I29" t="s">
        <v>143</v>
      </c>
      <c r="J29" t="s">
        <v>143</v>
      </c>
      <c r="K29" t="s">
        <v>145</v>
      </c>
    </row>
    <row r="30" spans="1:11" x14ac:dyDescent="0.15">
      <c r="A30" s="2" t="s">
        <v>80</v>
      </c>
      <c r="B30" t="s">
        <v>57</v>
      </c>
      <c r="C30" t="s">
        <v>26</v>
      </c>
      <c r="D30" t="s">
        <v>81</v>
      </c>
      <c r="F30" t="s">
        <v>144</v>
      </c>
      <c r="G30" t="s">
        <v>145</v>
      </c>
      <c r="H30" t="s">
        <v>143</v>
      </c>
      <c r="I30" t="s">
        <v>143</v>
      </c>
      <c r="J30" t="s">
        <v>143</v>
      </c>
      <c r="K30" t="s">
        <v>143</v>
      </c>
    </row>
    <row r="31" spans="1:11" ht="27" x14ac:dyDescent="0.15">
      <c r="A31" s="2" t="s">
        <v>82</v>
      </c>
      <c r="B31" t="s">
        <v>83</v>
      </c>
      <c r="C31">
        <v>4</v>
      </c>
      <c r="D31" t="s">
        <v>9</v>
      </c>
      <c r="E31">
        <v>2</v>
      </c>
      <c r="F31" t="s">
        <v>144</v>
      </c>
      <c r="G31" t="s">
        <v>145</v>
      </c>
      <c r="H31" t="s">
        <v>143</v>
      </c>
      <c r="I31" t="s">
        <v>143</v>
      </c>
      <c r="J31" t="s">
        <v>143</v>
      </c>
      <c r="K31" t="s">
        <v>143</v>
      </c>
    </row>
    <row r="32" spans="1:11" x14ac:dyDescent="0.15">
      <c r="A32" s="2" t="s">
        <v>84</v>
      </c>
      <c r="B32" t="s">
        <v>85</v>
      </c>
      <c r="C32">
        <v>3</v>
      </c>
      <c r="D32" t="s">
        <v>9</v>
      </c>
      <c r="E32">
        <v>2</v>
      </c>
      <c r="F32" t="s">
        <v>143</v>
      </c>
      <c r="G32" t="s">
        <v>143</v>
      </c>
      <c r="H32" t="s">
        <v>143</v>
      </c>
      <c r="I32" t="s">
        <v>143</v>
      </c>
      <c r="J32" t="s">
        <v>143</v>
      </c>
      <c r="K32" t="s">
        <v>143</v>
      </c>
    </row>
    <row r="33" spans="1:11" x14ac:dyDescent="0.15">
      <c r="A33" s="2" t="s">
        <v>86</v>
      </c>
      <c r="B33" t="s">
        <v>87</v>
      </c>
      <c r="C33">
        <v>6</v>
      </c>
      <c r="D33" t="s">
        <v>62</v>
      </c>
      <c r="E33">
        <v>3</v>
      </c>
      <c r="F33" t="s">
        <v>144</v>
      </c>
      <c r="G33" t="s">
        <v>145</v>
      </c>
      <c r="H33" t="s">
        <v>143</v>
      </c>
      <c r="I33" t="s">
        <v>143</v>
      </c>
      <c r="J33" t="s">
        <v>143</v>
      </c>
      <c r="K33" t="s">
        <v>143</v>
      </c>
    </row>
    <row r="34" spans="1:11" x14ac:dyDescent="0.15">
      <c r="A34" s="2" t="s">
        <v>88</v>
      </c>
      <c r="B34" t="s">
        <v>89</v>
      </c>
      <c r="C34">
        <v>6</v>
      </c>
      <c r="D34" t="s">
        <v>41</v>
      </c>
      <c r="E34">
        <v>3</v>
      </c>
      <c r="F34" t="s">
        <v>143</v>
      </c>
      <c r="G34" t="s">
        <v>143</v>
      </c>
      <c r="H34" t="s">
        <v>143</v>
      </c>
      <c r="I34" t="s">
        <v>143</v>
      </c>
      <c r="J34" t="s">
        <v>143</v>
      </c>
      <c r="K34" t="s">
        <v>143</v>
      </c>
    </row>
    <row r="35" spans="1:11" x14ac:dyDescent="0.15">
      <c r="A35" s="2" t="s">
        <v>90</v>
      </c>
      <c r="B35" t="s">
        <v>89</v>
      </c>
      <c r="C35">
        <v>5</v>
      </c>
      <c r="D35" t="s">
        <v>91</v>
      </c>
      <c r="E35" t="s">
        <v>27</v>
      </c>
      <c r="F35" t="s">
        <v>144</v>
      </c>
      <c r="G35" t="s">
        <v>145</v>
      </c>
      <c r="H35" t="s">
        <v>145</v>
      </c>
      <c r="I35" t="s">
        <v>143</v>
      </c>
      <c r="J35" t="s">
        <v>143</v>
      </c>
      <c r="K35" t="s">
        <v>143</v>
      </c>
    </row>
    <row r="36" spans="1:11" ht="27" x14ac:dyDescent="0.15">
      <c r="A36" s="2" t="s">
        <v>92</v>
      </c>
      <c r="B36" t="s">
        <v>89</v>
      </c>
      <c r="C36">
        <v>6</v>
      </c>
      <c r="D36" t="s">
        <v>76</v>
      </c>
      <c r="E36">
        <v>3</v>
      </c>
      <c r="F36" t="s">
        <v>143</v>
      </c>
      <c r="G36" t="s">
        <v>143</v>
      </c>
      <c r="H36" t="s">
        <v>143</v>
      </c>
      <c r="I36" t="s">
        <v>143</v>
      </c>
      <c r="J36" t="s">
        <v>143</v>
      </c>
      <c r="K36" t="s">
        <v>143</v>
      </c>
    </row>
    <row r="37" spans="1:11" x14ac:dyDescent="0.15">
      <c r="A37" s="2" t="s">
        <v>93</v>
      </c>
      <c r="B37" t="s">
        <v>37</v>
      </c>
      <c r="C37">
        <v>7</v>
      </c>
      <c r="D37" t="s">
        <v>41</v>
      </c>
      <c r="E37">
        <v>3</v>
      </c>
      <c r="F37" t="s">
        <v>143</v>
      </c>
      <c r="G37" t="s">
        <v>143</v>
      </c>
      <c r="H37" t="s">
        <v>143</v>
      </c>
      <c r="I37" t="s">
        <v>143</v>
      </c>
      <c r="J37" t="s">
        <v>143</v>
      </c>
      <c r="K37" t="s">
        <v>143</v>
      </c>
    </row>
    <row r="38" spans="1:11" x14ac:dyDescent="0.15">
      <c r="A38" s="2" t="s">
        <v>94</v>
      </c>
      <c r="B38" t="s">
        <v>95</v>
      </c>
      <c r="C38">
        <v>4</v>
      </c>
      <c r="D38" t="s">
        <v>9</v>
      </c>
      <c r="E38">
        <v>2</v>
      </c>
      <c r="F38" t="s">
        <v>144</v>
      </c>
      <c r="G38" t="s">
        <v>145</v>
      </c>
      <c r="H38" t="s">
        <v>143</v>
      </c>
      <c r="I38" t="s">
        <v>143</v>
      </c>
      <c r="J38" t="s">
        <v>143</v>
      </c>
      <c r="K38" t="s">
        <v>143</v>
      </c>
    </row>
    <row r="39" spans="1:11" x14ac:dyDescent="0.15">
      <c r="A39" s="2" t="s">
        <v>96</v>
      </c>
      <c r="B39" t="s">
        <v>97</v>
      </c>
      <c r="C39">
        <v>9</v>
      </c>
      <c r="D39" t="s">
        <v>50</v>
      </c>
      <c r="E39" t="s">
        <v>27</v>
      </c>
      <c r="F39" t="s">
        <v>143</v>
      </c>
      <c r="G39" t="s">
        <v>143</v>
      </c>
      <c r="H39" t="s">
        <v>143</v>
      </c>
      <c r="I39" t="s">
        <v>143</v>
      </c>
      <c r="J39" t="s">
        <v>143</v>
      </c>
      <c r="K39" t="s">
        <v>143</v>
      </c>
    </row>
    <row r="40" spans="1:11" ht="27" x14ac:dyDescent="0.15">
      <c r="A40" s="2" t="s">
        <v>98</v>
      </c>
      <c r="B40" t="s">
        <v>99</v>
      </c>
      <c r="C40">
        <v>6</v>
      </c>
      <c r="D40" t="s">
        <v>62</v>
      </c>
      <c r="E40">
        <v>3</v>
      </c>
      <c r="F40" t="s">
        <v>143</v>
      </c>
      <c r="G40" t="s">
        <v>143</v>
      </c>
      <c r="H40" t="s">
        <v>143</v>
      </c>
      <c r="I40" t="s">
        <v>143</v>
      </c>
      <c r="J40" t="s">
        <v>143</v>
      </c>
      <c r="K40" t="s">
        <v>143</v>
      </c>
    </row>
    <row r="41" spans="1:11" ht="27" x14ac:dyDescent="0.15">
      <c r="A41" s="2" t="s">
        <v>100</v>
      </c>
      <c r="B41" t="s">
        <v>101</v>
      </c>
      <c r="C41">
        <v>6</v>
      </c>
      <c r="D41" t="s">
        <v>102</v>
      </c>
      <c r="E41" t="s">
        <v>27</v>
      </c>
      <c r="F41" t="s">
        <v>143</v>
      </c>
      <c r="G41" t="s">
        <v>143</v>
      </c>
      <c r="H41" t="s">
        <v>143</v>
      </c>
      <c r="I41" t="s">
        <v>143</v>
      </c>
      <c r="J41" t="s">
        <v>143</v>
      </c>
      <c r="K41" t="s">
        <v>143</v>
      </c>
    </row>
    <row r="42" spans="1:11" ht="27" x14ac:dyDescent="0.15">
      <c r="A42" s="2" t="s">
        <v>103</v>
      </c>
      <c r="B42" t="s">
        <v>18</v>
      </c>
      <c r="C42">
        <v>5</v>
      </c>
      <c r="D42" t="s">
        <v>9</v>
      </c>
      <c r="E42">
        <v>2</v>
      </c>
      <c r="F42" t="s">
        <v>144</v>
      </c>
      <c r="G42" t="s">
        <v>145</v>
      </c>
      <c r="H42" t="s">
        <v>143</v>
      </c>
      <c r="I42" t="s">
        <v>143</v>
      </c>
      <c r="J42" t="s">
        <v>143</v>
      </c>
      <c r="K42" t="s">
        <v>143</v>
      </c>
    </row>
    <row r="43" spans="1:11" x14ac:dyDescent="0.15">
      <c r="A43" s="2" t="s">
        <v>104</v>
      </c>
      <c r="B43" t="s">
        <v>105</v>
      </c>
      <c r="C43">
        <v>5</v>
      </c>
      <c r="D43" t="s">
        <v>50</v>
      </c>
      <c r="E43" t="s">
        <v>27</v>
      </c>
      <c r="F43" t="s">
        <v>144</v>
      </c>
      <c r="G43" t="s">
        <v>145</v>
      </c>
      <c r="H43" t="s">
        <v>143</v>
      </c>
      <c r="I43" t="s">
        <v>143</v>
      </c>
      <c r="J43" t="s">
        <v>143</v>
      </c>
      <c r="K43" t="s">
        <v>143</v>
      </c>
    </row>
    <row r="44" spans="1:11" x14ac:dyDescent="0.15">
      <c r="A44" s="2" t="s">
        <v>106</v>
      </c>
      <c r="B44" t="s">
        <v>78</v>
      </c>
      <c r="C44">
        <v>7</v>
      </c>
      <c r="D44" t="s">
        <v>41</v>
      </c>
      <c r="E44">
        <v>3</v>
      </c>
      <c r="F44" t="s">
        <v>143</v>
      </c>
      <c r="G44" t="s">
        <v>143</v>
      </c>
      <c r="H44" t="s">
        <v>143</v>
      </c>
      <c r="I44" t="s">
        <v>143</v>
      </c>
      <c r="J44" t="s">
        <v>143</v>
      </c>
      <c r="K44" t="s">
        <v>143</v>
      </c>
    </row>
    <row r="45" spans="1:11" x14ac:dyDescent="0.15">
      <c r="A45" s="2" t="s">
        <v>107</v>
      </c>
      <c r="B45" t="s">
        <v>49</v>
      </c>
      <c r="C45">
        <v>4</v>
      </c>
      <c r="D45" t="s">
        <v>9</v>
      </c>
      <c r="E45">
        <v>2</v>
      </c>
      <c r="F45" t="s">
        <v>143</v>
      </c>
      <c r="G45" t="s">
        <v>143</v>
      </c>
      <c r="H45" t="s">
        <v>143</v>
      </c>
      <c r="I45" t="s">
        <v>143</v>
      </c>
      <c r="J45" t="s">
        <v>143</v>
      </c>
      <c r="K45" t="s">
        <v>143</v>
      </c>
    </row>
    <row r="46" spans="1:11" x14ac:dyDescent="0.15">
      <c r="A46" s="2" t="s">
        <v>108</v>
      </c>
      <c r="B46" t="s">
        <v>109</v>
      </c>
      <c r="C46">
        <v>4</v>
      </c>
      <c r="D46" t="s">
        <v>111</v>
      </c>
      <c r="E46">
        <v>2</v>
      </c>
      <c r="F46" t="s">
        <v>143</v>
      </c>
      <c r="G46" t="s">
        <v>143</v>
      </c>
      <c r="H46" t="s">
        <v>143</v>
      </c>
      <c r="I46" t="s">
        <v>143</v>
      </c>
      <c r="J46" t="s">
        <v>143</v>
      </c>
      <c r="K46" t="s">
        <v>143</v>
      </c>
    </row>
    <row r="47" spans="1:11" x14ac:dyDescent="0.15">
      <c r="A47" s="2" t="s">
        <v>112</v>
      </c>
      <c r="B47" t="s">
        <v>113</v>
      </c>
      <c r="C47">
        <v>7</v>
      </c>
      <c r="D47" t="s">
        <v>114</v>
      </c>
      <c r="E47" t="s">
        <v>27</v>
      </c>
      <c r="F47" t="s">
        <v>143</v>
      </c>
      <c r="G47" t="s">
        <v>143</v>
      </c>
      <c r="H47" t="s">
        <v>143</v>
      </c>
      <c r="I47" t="s">
        <v>143</v>
      </c>
      <c r="J47" t="s">
        <v>143</v>
      </c>
      <c r="K47" t="s">
        <v>143</v>
      </c>
    </row>
    <row r="48" spans="1:11" ht="27" x14ac:dyDescent="0.15">
      <c r="A48" s="2" t="s">
        <v>115</v>
      </c>
      <c r="B48" t="s">
        <v>116</v>
      </c>
      <c r="C48">
        <v>7</v>
      </c>
      <c r="D48" t="s">
        <v>62</v>
      </c>
      <c r="E48">
        <v>3</v>
      </c>
      <c r="F48" t="s">
        <v>143</v>
      </c>
      <c r="G48" t="s">
        <v>143</v>
      </c>
      <c r="H48" t="s">
        <v>143</v>
      </c>
      <c r="I48" t="s">
        <v>143</v>
      </c>
      <c r="J48" t="s">
        <v>143</v>
      </c>
      <c r="K48" t="s">
        <v>143</v>
      </c>
    </row>
    <row r="49" spans="1:11" x14ac:dyDescent="0.15">
      <c r="A49" s="2" t="s">
        <v>117</v>
      </c>
      <c r="B49" t="s">
        <v>95</v>
      </c>
      <c r="C49">
        <v>3</v>
      </c>
      <c r="D49" t="s">
        <v>9</v>
      </c>
      <c r="E49">
        <v>2</v>
      </c>
      <c r="F49" t="s">
        <v>144</v>
      </c>
      <c r="G49" t="s">
        <v>145</v>
      </c>
      <c r="H49" t="s">
        <v>145</v>
      </c>
      <c r="I49" t="s">
        <v>143</v>
      </c>
      <c r="J49" t="s">
        <v>143</v>
      </c>
      <c r="K49" t="s">
        <v>143</v>
      </c>
    </row>
    <row r="50" spans="1:11" ht="27" x14ac:dyDescent="0.15">
      <c r="A50" s="2" t="s">
        <v>118</v>
      </c>
      <c r="B50" t="s">
        <v>83</v>
      </c>
      <c r="C50">
        <v>3</v>
      </c>
      <c r="D50" t="s">
        <v>110</v>
      </c>
      <c r="E50">
        <v>2</v>
      </c>
      <c r="F50" t="s">
        <v>143</v>
      </c>
      <c r="G50" t="s">
        <v>143</v>
      </c>
      <c r="H50" t="s">
        <v>143</v>
      </c>
      <c r="I50" t="s">
        <v>143</v>
      </c>
      <c r="J50" t="s">
        <v>143</v>
      </c>
      <c r="K50" t="s">
        <v>143</v>
      </c>
    </row>
    <row r="51" spans="1:11" ht="27" x14ac:dyDescent="0.15">
      <c r="A51" s="2" t="s">
        <v>119</v>
      </c>
      <c r="B51" t="s">
        <v>120</v>
      </c>
      <c r="C51">
        <v>5</v>
      </c>
      <c r="D51" t="s">
        <v>121</v>
      </c>
      <c r="E51">
        <v>2</v>
      </c>
      <c r="F51" t="s">
        <v>144</v>
      </c>
      <c r="G51" t="s">
        <v>145</v>
      </c>
      <c r="H51" t="s">
        <v>143</v>
      </c>
      <c r="I51" t="s">
        <v>143</v>
      </c>
      <c r="J51" t="s">
        <v>143</v>
      </c>
      <c r="K51" t="s">
        <v>143</v>
      </c>
    </row>
    <row r="52" spans="1:11" x14ac:dyDescent="0.15">
      <c r="A52" s="2" t="s">
        <v>122</v>
      </c>
      <c r="B52" t="s">
        <v>10</v>
      </c>
      <c r="C52">
        <v>6</v>
      </c>
      <c r="D52" t="s">
        <v>123</v>
      </c>
      <c r="E52" t="s">
        <v>27</v>
      </c>
      <c r="F52" t="s">
        <v>144</v>
      </c>
      <c r="G52" t="s">
        <v>145</v>
      </c>
      <c r="H52" t="s">
        <v>143</v>
      </c>
      <c r="I52" t="s">
        <v>143</v>
      </c>
      <c r="J52" t="s">
        <v>143</v>
      </c>
      <c r="K52" t="s">
        <v>143</v>
      </c>
    </row>
  </sheetData>
  <dataConsolidate/>
  <phoneticPr fontId="1" type="noConversion"/>
  <hyperlinks>
    <hyperlink ref="D6" r:id="rId1" display="1AA@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adAgingData">
                <anchor moveWithCells="1">
                  <from>
                    <xdr:col>11</xdr:col>
                    <xdr:colOff>19050</xdr:colOff>
                    <xdr:row>0</xdr:row>
                    <xdr:rowOff>123825</xdr:rowOff>
                  </from>
                  <to>
                    <xdr:col>12</xdr:col>
                    <xdr:colOff>600075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workbookViewId="0">
      <selection activeCell="B2" sqref="B2"/>
    </sheetView>
  </sheetViews>
  <sheetFormatPr defaultRowHeight="13.5" x14ac:dyDescent="0.15"/>
  <cols>
    <col min="1" max="1" width="19" customWidth="1"/>
    <col min="2" max="2" width="15.25" customWidth="1"/>
    <col min="3" max="3" width="17.125" customWidth="1"/>
  </cols>
  <sheetData>
    <row r="1" spans="1:9" x14ac:dyDescent="0.15">
      <c r="A1" t="s">
        <v>125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</row>
    <row r="2" spans="1:9" x14ac:dyDescent="0.15">
      <c r="A2" t="s">
        <v>134</v>
      </c>
      <c r="C2">
        <f ca="1">SUM(C1:C2)</f>
        <v>0</v>
      </c>
      <c r="D2">
        <f ca="1">SUM(D1:D2)</f>
        <v>0</v>
      </c>
      <c r="E2">
        <f ca="1">SUM(E1:E2)</f>
        <v>0</v>
      </c>
      <c r="F2">
        <f ca="1">SUM(F1:F2)</f>
        <v>0</v>
      </c>
      <c r="G2">
        <f ca="1">SUM(G1:G2)</f>
        <v>0</v>
      </c>
      <c r="H2">
        <f ca="1">SUM(H1:H2)</f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27"/>
  <sheetViews>
    <sheetView tabSelected="1" topLeftCell="B1" workbookViewId="0">
      <selection activeCell="H17" sqref="H17"/>
    </sheetView>
  </sheetViews>
  <sheetFormatPr defaultRowHeight="13.5" x14ac:dyDescent="0.15"/>
  <cols>
    <col min="1" max="1" width="15" customWidth="1"/>
    <col min="2" max="2" width="17.625" customWidth="1"/>
    <col min="4" max="4" width="11.375" customWidth="1"/>
    <col min="9" max="9" width="17.625" customWidth="1"/>
    <col min="10" max="10" width="17" customWidth="1"/>
    <col min="11" max="11" width="14.5" customWidth="1"/>
    <col min="13" max="13" width="14.75" customWidth="1"/>
  </cols>
  <sheetData>
    <row r="1" spans="1:19" s="18" customFormat="1" ht="49.5" x14ac:dyDescent="0.3">
      <c r="A1" s="12" t="s">
        <v>146</v>
      </c>
      <c r="B1" s="12" t="s">
        <v>147</v>
      </c>
      <c r="C1" s="12"/>
      <c r="D1" s="13" t="s">
        <v>148</v>
      </c>
      <c r="E1" s="13" t="s">
        <v>149</v>
      </c>
      <c r="F1" s="14" t="s">
        <v>150</v>
      </c>
      <c r="G1" s="14" t="s">
        <v>151</v>
      </c>
      <c r="H1" s="14" t="s">
        <v>152</v>
      </c>
      <c r="I1" s="15" t="s">
        <v>153</v>
      </c>
      <c r="J1" s="14" t="s">
        <v>154</v>
      </c>
      <c r="K1" s="14" t="s">
        <v>155</v>
      </c>
      <c r="L1" s="14" t="s">
        <v>156</v>
      </c>
      <c r="M1" s="14" t="s">
        <v>157</v>
      </c>
      <c r="N1" s="16" t="s">
        <v>136</v>
      </c>
      <c r="O1" s="16" t="s">
        <v>135</v>
      </c>
      <c r="P1" s="16" t="s">
        <v>137</v>
      </c>
      <c r="Q1" s="17" t="s">
        <v>138</v>
      </c>
      <c r="R1" s="16" t="s">
        <v>139</v>
      </c>
      <c r="S1" s="16" t="s">
        <v>140</v>
      </c>
    </row>
    <row r="2" spans="1:19" ht="14.25" x14ac:dyDescent="0.15">
      <c r="A2" s="4" t="s">
        <v>158</v>
      </c>
      <c r="B2" s="7" t="s">
        <v>159</v>
      </c>
      <c r="C2" s="7" t="s">
        <v>160</v>
      </c>
      <c r="D2" s="5">
        <v>2</v>
      </c>
      <c r="E2" s="5" t="str">
        <f>F2</f>
        <v>3AA1</v>
      </c>
      <c r="F2" s="6" t="s">
        <v>161</v>
      </c>
      <c r="G2" s="6" t="s">
        <v>26</v>
      </c>
      <c r="H2" s="6">
        <v>3</v>
      </c>
      <c r="I2" s="8">
        <f>5500000*6.15</f>
        <v>33825000</v>
      </c>
      <c r="J2" s="9">
        <v>5500000</v>
      </c>
      <c r="K2" s="6"/>
      <c r="L2" s="6"/>
      <c r="M2" s="6"/>
      <c r="N2" t="s">
        <v>601</v>
      </c>
      <c r="O2" t="s">
        <v>601</v>
      </c>
      <c r="P2" t="s">
        <v>601</v>
      </c>
      <c r="Q2" t="s">
        <v>601</v>
      </c>
      <c r="R2" t="s">
        <v>601</v>
      </c>
      <c r="S2" t="s">
        <v>601</v>
      </c>
    </row>
    <row r="3" spans="1:19" ht="14.25" x14ac:dyDescent="0.15">
      <c r="A3" s="4" t="s">
        <v>162</v>
      </c>
      <c r="B3" s="7" t="s">
        <v>163</v>
      </c>
      <c r="C3" s="7" t="s">
        <v>164</v>
      </c>
      <c r="D3" s="5">
        <v>3</v>
      </c>
      <c r="E3" s="5" t="str">
        <f t="shared" ref="E3:E10" si="0">F3</f>
        <v>3AA2</v>
      </c>
      <c r="F3" s="6" t="s">
        <v>9</v>
      </c>
      <c r="G3" s="6">
        <v>79</v>
      </c>
      <c r="H3" s="6">
        <v>2</v>
      </c>
      <c r="I3" s="8">
        <f>2100000*6.15</f>
        <v>12915000</v>
      </c>
      <c r="J3" s="9">
        <v>2100000</v>
      </c>
      <c r="K3" s="6"/>
      <c r="L3" s="6"/>
      <c r="M3" s="6"/>
      <c r="N3" t="s">
        <v>601</v>
      </c>
      <c r="O3" t="s">
        <v>601</v>
      </c>
      <c r="P3" t="s">
        <v>601</v>
      </c>
      <c r="Q3" t="s">
        <v>601</v>
      </c>
      <c r="R3" t="s">
        <v>601</v>
      </c>
      <c r="S3" t="s">
        <v>601</v>
      </c>
    </row>
    <row r="4" spans="1:19" ht="14.25" x14ac:dyDescent="0.15">
      <c r="A4" s="4" t="s">
        <v>165</v>
      </c>
      <c r="B4" s="7" t="s">
        <v>166</v>
      </c>
      <c r="C4" s="7" t="s">
        <v>167</v>
      </c>
      <c r="D4" s="5">
        <v>6</v>
      </c>
      <c r="E4" s="5" t="str">
        <f t="shared" si="0"/>
        <v>4A-</v>
      </c>
      <c r="F4" s="6" t="s">
        <v>168</v>
      </c>
      <c r="G4" s="6"/>
      <c r="H4" s="6">
        <v>4</v>
      </c>
      <c r="I4" s="8" t="s">
        <v>169</v>
      </c>
      <c r="J4" s="9"/>
      <c r="K4" s="9">
        <v>70000000</v>
      </c>
      <c r="L4" s="6"/>
      <c r="M4" s="6"/>
      <c r="N4" t="s">
        <v>602</v>
      </c>
      <c r="O4" t="s">
        <v>602</v>
      </c>
      <c r="P4" t="s">
        <v>602</v>
      </c>
      <c r="Q4" t="s">
        <v>601</v>
      </c>
      <c r="R4" t="s">
        <v>601</v>
      </c>
      <c r="S4" t="s">
        <v>601</v>
      </c>
    </row>
    <row r="5" spans="1:19" ht="14.25" x14ac:dyDescent="0.15">
      <c r="A5" s="4" t="s">
        <v>170</v>
      </c>
      <c r="B5" s="7" t="s">
        <v>171</v>
      </c>
      <c r="C5" s="7"/>
      <c r="D5" s="5">
        <v>5</v>
      </c>
      <c r="E5" s="5" t="str">
        <f t="shared" si="0"/>
        <v>3AA-</v>
      </c>
      <c r="F5" s="6" t="s">
        <v>172</v>
      </c>
      <c r="G5" s="6"/>
      <c r="H5" s="6">
        <v>4</v>
      </c>
      <c r="I5" s="8" t="s">
        <v>173</v>
      </c>
      <c r="J5" s="9"/>
      <c r="K5" s="9">
        <v>10000000</v>
      </c>
      <c r="L5" s="6"/>
      <c r="M5" s="6"/>
      <c r="N5" t="s">
        <v>602</v>
      </c>
      <c r="O5" t="s">
        <v>602</v>
      </c>
      <c r="P5" t="s">
        <v>602</v>
      </c>
      <c r="Q5" t="s">
        <v>601</v>
      </c>
      <c r="R5" t="s">
        <v>601</v>
      </c>
      <c r="S5" t="s">
        <v>601</v>
      </c>
    </row>
    <row r="6" spans="1:19" ht="14.25" x14ac:dyDescent="0.15">
      <c r="A6" s="4" t="s">
        <v>174</v>
      </c>
      <c r="B6" s="7" t="s">
        <v>175</v>
      </c>
      <c r="C6" s="5" t="s">
        <v>176</v>
      </c>
      <c r="D6" s="10"/>
      <c r="E6" s="5"/>
      <c r="F6" s="6"/>
      <c r="G6" s="6"/>
      <c r="H6" s="6"/>
      <c r="I6" s="8">
        <f>290000000*0.615</f>
        <v>178350000</v>
      </c>
      <c r="J6" s="9">
        <v>290000000</v>
      </c>
      <c r="K6" s="6"/>
      <c r="L6" s="6"/>
      <c r="M6" s="6"/>
      <c r="N6" t="s">
        <v>601</v>
      </c>
      <c r="O6" t="s">
        <v>601</v>
      </c>
      <c r="P6" t="s">
        <v>601</v>
      </c>
      <c r="Q6" t="s">
        <v>601</v>
      </c>
      <c r="R6" t="s">
        <v>601</v>
      </c>
      <c r="S6" t="s">
        <v>601</v>
      </c>
    </row>
    <row r="7" spans="1:19" ht="14.25" x14ac:dyDescent="0.15">
      <c r="A7" s="4" t="s">
        <v>177</v>
      </c>
      <c r="B7" s="7" t="s">
        <v>178</v>
      </c>
      <c r="C7" s="7"/>
      <c r="D7" s="5">
        <v>7</v>
      </c>
      <c r="E7" s="5"/>
      <c r="F7" s="6"/>
      <c r="G7" s="6"/>
      <c r="H7" s="6"/>
      <c r="I7" s="8" t="s">
        <v>179</v>
      </c>
      <c r="J7" s="9"/>
      <c r="K7" s="9">
        <v>1000000</v>
      </c>
      <c r="L7" s="6"/>
      <c r="M7" s="6"/>
      <c r="N7" t="s">
        <v>602</v>
      </c>
      <c r="O7" t="s">
        <v>602</v>
      </c>
      <c r="P7" t="s">
        <v>602</v>
      </c>
      <c r="Q7" t="s">
        <v>602</v>
      </c>
      <c r="R7" t="s">
        <v>602</v>
      </c>
      <c r="S7" t="s">
        <v>601</v>
      </c>
    </row>
    <row r="8" spans="1:19" ht="14.25" x14ac:dyDescent="0.15">
      <c r="A8" s="4" t="s">
        <v>180</v>
      </c>
      <c r="B8" s="7" t="s">
        <v>181</v>
      </c>
      <c r="C8" s="7" t="s">
        <v>167</v>
      </c>
      <c r="D8" s="5">
        <v>7</v>
      </c>
      <c r="E8" s="5" t="str">
        <f t="shared" si="0"/>
        <v>EE-</v>
      </c>
      <c r="F8" s="6" t="s">
        <v>182</v>
      </c>
      <c r="G8" s="6"/>
      <c r="H8" s="6">
        <v>4</v>
      </c>
      <c r="I8" s="8" t="s">
        <v>183</v>
      </c>
      <c r="J8" s="6"/>
      <c r="K8" s="9">
        <v>500000</v>
      </c>
      <c r="L8" s="6"/>
      <c r="M8" s="6"/>
      <c r="N8" t="s">
        <v>602</v>
      </c>
      <c r="O8" t="s">
        <v>602</v>
      </c>
      <c r="P8" t="s">
        <v>601</v>
      </c>
      <c r="Q8" t="s">
        <v>601</v>
      </c>
      <c r="R8" t="s">
        <v>601</v>
      </c>
      <c r="S8" t="s">
        <v>601</v>
      </c>
    </row>
    <row r="9" spans="1:19" ht="14.25" x14ac:dyDescent="0.15">
      <c r="A9" s="4" t="s">
        <v>184</v>
      </c>
      <c r="B9" s="7" t="s">
        <v>185</v>
      </c>
      <c r="C9" s="7" t="s">
        <v>186</v>
      </c>
      <c r="D9" s="5">
        <v>6</v>
      </c>
      <c r="E9" s="5" t="str">
        <f t="shared" si="0"/>
        <v>3A3</v>
      </c>
      <c r="F9" s="6" t="s">
        <v>187</v>
      </c>
      <c r="G9" s="6"/>
      <c r="H9" s="6">
        <v>3</v>
      </c>
      <c r="I9" s="8">
        <f>J9*6.15</f>
        <v>35670000</v>
      </c>
      <c r="J9" s="9">
        <v>5800000</v>
      </c>
      <c r="K9" s="6"/>
      <c r="L9" s="6"/>
      <c r="M9" s="6"/>
      <c r="N9" t="s">
        <v>601</v>
      </c>
      <c r="O9" t="s">
        <v>601</v>
      </c>
      <c r="P9" t="s">
        <v>601</v>
      </c>
      <c r="Q9" t="s">
        <v>601</v>
      </c>
      <c r="R9" t="s">
        <v>601</v>
      </c>
      <c r="S9" t="s">
        <v>601</v>
      </c>
    </row>
    <row r="10" spans="1:19" ht="14.25" x14ac:dyDescent="0.15">
      <c r="A10" s="4" t="s">
        <v>188</v>
      </c>
      <c r="B10" s="7" t="s">
        <v>189</v>
      </c>
      <c r="C10" s="7" t="s">
        <v>167</v>
      </c>
      <c r="D10" s="5">
        <v>7</v>
      </c>
      <c r="E10" s="5" t="str">
        <f t="shared" si="0"/>
        <v>3AA-</v>
      </c>
      <c r="F10" s="6" t="s">
        <v>172</v>
      </c>
      <c r="G10" s="6"/>
      <c r="H10" s="6">
        <v>4</v>
      </c>
      <c r="I10" s="8" t="s">
        <v>173</v>
      </c>
      <c r="J10" s="6"/>
      <c r="K10" s="9">
        <v>10000000</v>
      </c>
      <c r="L10" s="6"/>
      <c r="M10" s="6"/>
      <c r="N10" t="s">
        <v>601</v>
      </c>
      <c r="O10" t="s">
        <v>601</v>
      </c>
      <c r="P10" t="s">
        <v>601</v>
      </c>
      <c r="Q10" t="s">
        <v>601</v>
      </c>
      <c r="R10" t="s">
        <v>601</v>
      </c>
      <c r="S10" t="s">
        <v>601</v>
      </c>
    </row>
    <row r="11" spans="1:19" ht="14.25" x14ac:dyDescent="0.15">
      <c r="A11" s="4" t="s">
        <v>190</v>
      </c>
      <c r="B11" s="7" t="s">
        <v>191</v>
      </c>
      <c r="C11" s="7"/>
      <c r="D11" s="5">
        <v>2</v>
      </c>
      <c r="E11" s="5" t="s">
        <v>192</v>
      </c>
      <c r="F11" s="6" t="s">
        <v>193</v>
      </c>
      <c r="G11" s="6"/>
      <c r="H11" s="6">
        <v>1</v>
      </c>
      <c r="I11" s="8" t="s">
        <v>194</v>
      </c>
      <c r="J11" s="6"/>
      <c r="K11" s="9">
        <v>510000000</v>
      </c>
      <c r="L11" s="6"/>
      <c r="M11" s="6"/>
      <c r="N11" t="s">
        <v>601</v>
      </c>
      <c r="O11" t="s">
        <v>601</v>
      </c>
      <c r="P11" t="s">
        <v>601</v>
      </c>
      <c r="Q11" t="s">
        <v>601</v>
      </c>
      <c r="R11" t="s">
        <v>601</v>
      </c>
      <c r="S11" t="s">
        <v>601</v>
      </c>
    </row>
    <row r="12" spans="1:19" ht="14.25" x14ac:dyDescent="0.15">
      <c r="A12" s="4" t="s">
        <v>195</v>
      </c>
      <c r="B12" s="7" t="s">
        <v>196</v>
      </c>
      <c r="C12" s="7"/>
      <c r="D12" s="5">
        <v>6</v>
      </c>
      <c r="E12" s="5" t="str">
        <f>F12</f>
        <v>4AA3</v>
      </c>
      <c r="F12" s="6" t="s">
        <v>44</v>
      </c>
      <c r="G12" s="6">
        <v>30</v>
      </c>
      <c r="H12" s="6">
        <v>5</v>
      </c>
      <c r="I12" s="8">
        <f>J12*6.15</f>
        <v>103320000</v>
      </c>
      <c r="J12" s="9">
        <v>16800000</v>
      </c>
      <c r="K12" s="6"/>
      <c r="L12" s="6"/>
      <c r="M12" s="6"/>
      <c r="N12" t="s">
        <v>602</v>
      </c>
      <c r="O12" t="s">
        <v>602</v>
      </c>
      <c r="P12" t="s">
        <v>601</v>
      </c>
      <c r="Q12" t="s">
        <v>601</v>
      </c>
      <c r="R12" t="s">
        <v>601</v>
      </c>
      <c r="S12" t="s">
        <v>601</v>
      </c>
    </row>
    <row r="13" spans="1:19" ht="14.25" x14ac:dyDescent="0.15">
      <c r="A13" s="4" t="s">
        <v>197</v>
      </c>
      <c r="B13" s="7" t="s">
        <v>198</v>
      </c>
      <c r="C13" s="7" t="s">
        <v>199</v>
      </c>
      <c r="D13" s="5">
        <v>8</v>
      </c>
      <c r="E13" s="5" t="str">
        <f>F13</f>
        <v>3AA3</v>
      </c>
      <c r="F13" s="6" t="s">
        <v>62</v>
      </c>
      <c r="G13" s="6">
        <v>46</v>
      </c>
      <c r="H13" s="6">
        <v>1</v>
      </c>
      <c r="I13" s="8" t="s">
        <v>200</v>
      </c>
      <c r="J13" s="6"/>
      <c r="K13" s="9">
        <v>20250000</v>
      </c>
      <c r="L13" s="6"/>
      <c r="M13" s="6"/>
      <c r="N13" t="s">
        <v>601</v>
      </c>
      <c r="O13" t="s">
        <v>601</v>
      </c>
      <c r="P13" t="s">
        <v>601</v>
      </c>
      <c r="Q13" t="s">
        <v>601</v>
      </c>
      <c r="R13" t="s">
        <v>601</v>
      </c>
      <c r="S13" t="s">
        <v>601</v>
      </c>
    </row>
    <row r="14" spans="1:19" ht="14.25" x14ac:dyDescent="0.15">
      <c r="A14" s="4" t="s">
        <v>201</v>
      </c>
      <c r="B14" s="7" t="s">
        <v>202</v>
      </c>
      <c r="C14" s="7" t="s">
        <v>203</v>
      </c>
      <c r="D14" s="5">
        <v>5</v>
      </c>
      <c r="E14" s="5">
        <f t="shared" ref="E14:E25" si="1">F14</f>
        <v>0</v>
      </c>
      <c r="F14" s="6"/>
      <c r="G14" s="6"/>
      <c r="H14" s="6"/>
      <c r="I14" s="8" t="s">
        <v>204</v>
      </c>
      <c r="J14" s="6"/>
      <c r="K14" s="9">
        <v>5000000</v>
      </c>
      <c r="L14" s="6"/>
      <c r="M14" s="6"/>
      <c r="N14" t="s">
        <v>601</v>
      </c>
      <c r="O14" t="s">
        <v>601</v>
      </c>
      <c r="P14" t="s">
        <v>601</v>
      </c>
      <c r="Q14" t="s">
        <v>601</v>
      </c>
      <c r="R14" t="s">
        <v>601</v>
      </c>
      <c r="S14" t="s">
        <v>601</v>
      </c>
    </row>
    <row r="15" spans="1:19" ht="14.25" x14ac:dyDescent="0.15">
      <c r="A15" s="4" t="s">
        <v>205</v>
      </c>
      <c r="B15" s="7" t="s">
        <v>206</v>
      </c>
      <c r="C15" s="7" t="s">
        <v>203</v>
      </c>
      <c r="D15" s="5">
        <v>7</v>
      </c>
      <c r="E15" s="5" t="str">
        <f t="shared" si="1"/>
        <v>2A-</v>
      </c>
      <c r="F15" s="6" t="s">
        <v>207</v>
      </c>
      <c r="G15" s="6"/>
      <c r="H15" s="6">
        <v>4</v>
      </c>
      <c r="I15" s="8" t="s">
        <v>208</v>
      </c>
      <c r="J15" s="6"/>
      <c r="K15" s="9">
        <v>100000000</v>
      </c>
      <c r="L15" s="6"/>
      <c r="M15" s="6"/>
      <c r="N15" t="s">
        <v>601</v>
      </c>
      <c r="O15" t="s">
        <v>601</v>
      </c>
      <c r="P15" t="s">
        <v>601</v>
      </c>
      <c r="Q15" t="s">
        <v>601</v>
      </c>
      <c r="R15" t="s">
        <v>601</v>
      </c>
      <c r="S15" t="s">
        <v>601</v>
      </c>
    </row>
    <row r="16" spans="1:19" ht="14.25" x14ac:dyDescent="0.15">
      <c r="A16" s="4" t="s">
        <v>209</v>
      </c>
      <c r="B16" s="7" t="s">
        <v>210</v>
      </c>
      <c r="C16" s="7"/>
      <c r="D16" s="5">
        <v>4</v>
      </c>
      <c r="E16" s="5" t="str">
        <f t="shared" si="1"/>
        <v>4AA2</v>
      </c>
      <c r="F16" s="6" t="s">
        <v>121</v>
      </c>
      <c r="G16" s="6"/>
      <c r="H16" s="6">
        <v>2</v>
      </c>
      <c r="I16" s="8">
        <f>J16*6.15</f>
        <v>209100000</v>
      </c>
      <c r="J16" s="9">
        <v>34000000</v>
      </c>
      <c r="K16" s="6"/>
      <c r="L16" s="6"/>
      <c r="M16" s="6"/>
      <c r="N16" t="s">
        <v>601</v>
      </c>
      <c r="O16" t="s">
        <v>601</v>
      </c>
      <c r="P16" t="s">
        <v>601</v>
      </c>
      <c r="Q16" t="s">
        <v>601</v>
      </c>
      <c r="R16" t="s">
        <v>601</v>
      </c>
      <c r="S16" t="s">
        <v>601</v>
      </c>
    </row>
    <row r="17" spans="1:19" ht="14.25" x14ac:dyDescent="0.15">
      <c r="A17" s="4" t="s">
        <v>211</v>
      </c>
      <c r="B17" s="7" t="s">
        <v>212</v>
      </c>
      <c r="C17" s="7" t="s">
        <v>213</v>
      </c>
      <c r="D17" s="5">
        <v>1</v>
      </c>
      <c r="E17" s="5" t="str">
        <f t="shared" si="1"/>
        <v>3AA1</v>
      </c>
      <c r="F17" s="6" t="s">
        <v>161</v>
      </c>
      <c r="G17" s="6">
        <v>80</v>
      </c>
      <c r="H17" s="6"/>
      <c r="I17" s="8">
        <f>J17*6.15</f>
        <v>29766000</v>
      </c>
      <c r="J17" s="9">
        <v>4840000</v>
      </c>
      <c r="K17" s="6"/>
      <c r="L17" s="6"/>
      <c r="M17" s="6"/>
      <c r="N17" t="s">
        <v>601</v>
      </c>
      <c r="O17" t="s">
        <v>601</v>
      </c>
      <c r="P17" t="s">
        <v>601</v>
      </c>
      <c r="Q17" t="s">
        <v>601</v>
      </c>
      <c r="R17" t="s">
        <v>601</v>
      </c>
      <c r="S17" t="s">
        <v>601</v>
      </c>
    </row>
    <row r="18" spans="1:19" ht="14.25" x14ac:dyDescent="0.15">
      <c r="A18" s="4" t="s">
        <v>214</v>
      </c>
      <c r="B18" s="7" t="s">
        <v>215</v>
      </c>
      <c r="C18" s="7" t="s">
        <v>216</v>
      </c>
      <c r="D18" s="5">
        <v>8</v>
      </c>
      <c r="E18" s="5" t="str">
        <f t="shared" si="1"/>
        <v>EE-</v>
      </c>
      <c r="F18" s="6" t="s">
        <v>182</v>
      </c>
      <c r="G18" s="6"/>
      <c r="H18" s="6">
        <v>4</v>
      </c>
      <c r="I18" s="8" t="s">
        <v>183</v>
      </c>
      <c r="J18" s="6"/>
      <c r="K18" s="9">
        <v>500000</v>
      </c>
      <c r="L18" s="6"/>
      <c r="M18" s="6"/>
      <c r="N18" t="s">
        <v>602</v>
      </c>
      <c r="O18" t="s">
        <v>602</v>
      </c>
      <c r="P18" t="s">
        <v>601</v>
      </c>
      <c r="Q18" t="s">
        <v>601</v>
      </c>
      <c r="R18" t="s">
        <v>601</v>
      </c>
      <c r="S18" t="s">
        <v>601</v>
      </c>
    </row>
    <row r="19" spans="1:19" ht="14.25" x14ac:dyDescent="0.15">
      <c r="A19" s="4" t="s">
        <v>217</v>
      </c>
      <c r="B19" s="7" t="s">
        <v>218</v>
      </c>
      <c r="C19" s="7" t="s">
        <v>216</v>
      </c>
      <c r="D19" s="5">
        <v>5</v>
      </c>
      <c r="E19" s="5" t="str">
        <f t="shared" si="1"/>
        <v>1AA-</v>
      </c>
      <c r="F19" s="6" t="s">
        <v>219</v>
      </c>
      <c r="G19" s="6"/>
      <c r="H19" s="6">
        <v>3</v>
      </c>
      <c r="I19" s="8" t="s">
        <v>204</v>
      </c>
      <c r="J19" s="6"/>
      <c r="K19" s="9">
        <v>5000000</v>
      </c>
      <c r="L19" s="6"/>
      <c r="M19" s="6"/>
      <c r="N19" t="s">
        <v>602</v>
      </c>
      <c r="O19" t="s">
        <v>602</v>
      </c>
      <c r="P19" t="s">
        <v>601</v>
      </c>
      <c r="Q19" t="s">
        <v>601</v>
      </c>
      <c r="R19" t="s">
        <v>601</v>
      </c>
      <c r="S19" t="s">
        <v>601</v>
      </c>
    </row>
    <row r="20" spans="1:19" ht="14.25" x14ac:dyDescent="0.15">
      <c r="A20" s="4" t="s">
        <v>220</v>
      </c>
      <c r="B20" s="7" t="s">
        <v>221</v>
      </c>
      <c r="C20" s="7" t="s">
        <v>222</v>
      </c>
      <c r="D20" s="5">
        <v>6</v>
      </c>
      <c r="E20" s="5" t="str">
        <f t="shared" si="1"/>
        <v>3A3</v>
      </c>
      <c r="F20" s="6" t="s">
        <v>187</v>
      </c>
      <c r="G20" s="6"/>
      <c r="H20" s="6"/>
      <c r="I20" s="8" t="s">
        <v>223</v>
      </c>
      <c r="J20" s="6"/>
      <c r="K20" s="9">
        <v>10393000</v>
      </c>
      <c r="L20" s="6"/>
      <c r="M20" s="6"/>
      <c r="N20" t="s">
        <v>601</v>
      </c>
      <c r="O20" t="s">
        <v>601</v>
      </c>
      <c r="P20" t="s">
        <v>601</v>
      </c>
      <c r="Q20" t="s">
        <v>601</v>
      </c>
      <c r="R20" t="s">
        <v>601</v>
      </c>
      <c r="S20" t="s">
        <v>601</v>
      </c>
    </row>
    <row r="21" spans="1:19" ht="14.25" x14ac:dyDescent="0.15">
      <c r="A21" s="4" t="s">
        <v>224</v>
      </c>
      <c r="B21" s="7" t="s">
        <v>225</v>
      </c>
      <c r="C21" s="7"/>
      <c r="D21" s="5">
        <v>3</v>
      </c>
      <c r="E21" s="5" t="str">
        <f t="shared" si="1"/>
        <v>4AA2</v>
      </c>
      <c r="F21" s="6" t="s">
        <v>121</v>
      </c>
      <c r="G21" s="6">
        <v>78</v>
      </c>
      <c r="H21" s="6">
        <v>1</v>
      </c>
      <c r="I21" s="8">
        <f>J21*6.15</f>
        <v>153750000</v>
      </c>
      <c r="J21" s="9">
        <v>25000000</v>
      </c>
      <c r="K21" s="6"/>
      <c r="L21" s="6"/>
      <c r="M21" s="6"/>
      <c r="N21" t="s">
        <v>602</v>
      </c>
      <c r="O21" t="s">
        <v>602</v>
      </c>
      <c r="P21" t="s">
        <v>601</v>
      </c>
      <c r="Q21" t="s">
        <v>601</v>
      </c>
      <c r="R21" t="s">
        <v>601</v>
      </c>
      <c r="S21" t="s">
        <v>601</v>
      </c>
    </row>
    <row r="22" spans="1:19" ht="14.25" x14ac:dyDescent="0.15">
      <c r="A22" s="4" t="s">
        <v>226</v>
      </c>
      <c r="B22" s="7" t="s">
        <v>227</v>
      </c>
      <c r="C22" s="7" t="s">
        <v>228</v>
      </c>
      <c r="D22" s="5">
        <v>3</v>
      </c>
      <c r="E22" s="5" t="str">
        <f t="shared" si="1"/>
        <v>5A2</v>
      </c>
      <c r="F22" s="6" t="s">
        <v>229</v>
      </c>
      <c r="G22" s="6"/>
      <c r="H22" s="6"/>
      <c r="I22" s="8" t="s">
        <v>230</v>
      </c>
      <c r="J22" s="6"/>
      <c r="K22" s="9">
        <v>700000000</v>
      </c>
      <c r="L22" s="6"/>
      <c r="M22" s="6"/>
      <c r="N22" t="s">
        <v>601</v>
      </c>
      <c r="O22" t="s">
        <v>601</v>
      </c>
      <c r="P22" t="s">
        <v>601</v>
      </c>
      <c r="Q22" t="s">
        <v>601</v>
      </c>
      <c r="R22" t="s">
        <v>601</v>
      </c>
      <c r="S22" t="s">
        <v>601</v>
      </c>
    </row>
    <row r="23" spans="1:19" ht="14.25" x14ac:dyDescent="0.15">
      <c r="A23" s="4" t="s">
        <v>231</v>
      </c>
      <c r="B23" s="7" t="s">
        <v>232</v>
      </c>
      <c r="C23" s="7" t="s">
        <v>228</v>
      </c>
      <c r="D23" s="5">
        <v>3</v>
      </c>
      <c r="E23" s="5" t="str">
        <f t="shared" si="1"/>
        <v>3A2</v>
      </c>
      <c r="F23" s="6" t="s">
        <v>233</v>
      </c>
      <c r="G23" s="6"/>
      <c r="H23" s="6"/>
      <c r="I23" s="8" t="s">
        <v>173</v>
      </c>
      <c r="J23" s="6"/>
      <c r="K23" s="9">
        <v>10000000</v>
      </c>
      <c r="L23" s="6"/>
      <c r="M23" s="6"/>
      <c r="N23" t="s">
        <v>601</v>
      </c>
      <c r="O23" t="s">
        <v>601</v>
      </c>
      <c r="P23" t="s">
        <v>601</v>
      </c>
      <c r="Q23" t="s">
        <v>601</v>
      </c>
      <c r="R23" t="s">
        <v>601</v>
      </c>
      <c r="S23" t="s">
        <v>601</v>
      </c>
    </row>
    <row r="24" spans="1:19" ht="14.25" x14ac:dyDescent="0.15">
      <c r="A24" s="4" t="s">
        <v>234</v>
      </c>
      <c r="B24" s="7" t="s">
        <v>235</v>
      </c>
      <c r="C24" s="7" t="s">
        <v>236</v>
      </c>
      <c r="D24" s="5">
        <v>7</v>
      </c>
      <c r="E24" s="5" t="str">
        <f t="shared" si="1"/>
        <v>EE3</v>
      </c>
      <c r="F24" s="6" t="s">
        <v>237</v>
      </c>
      <c r="G24" s="6"/>
      <c r="H24" s="6"/>
      <c r="I24" s="8" t="s">
        <v>183</v>
      </c>
      <c r="J24" s="6"/>
      <c r="K24" s="9">
        <v>500000</v>
      </c>
      <c r="L24" s="6"/>
      <c r="M24" s="6"/>
      <c r="N24" t="s">
        <v>601</v>
      </c>
      <c r="O24" t="s">
        <v>601</v>
      </c>
      <c r="P24" t="s">
        <v>601</v>
      </c>
      <c r="Q24" t="s">
        <v>601</v>
      </c>
      <c r="R24" t="s">
        <v>601</v>
      </c>
      <c r="S24" t="s">
        <v>601</v>
      </c>
    </row>
    <row r="25" spans="1:19" ht="14.25" x14ac:dyDescent="0.15">
      <c r="A25" s="4" t="s">
        <v>238</v>
      </c>
      <c r="B25" s="7" t="s">
        <v>239</v>
      </c>
      <c r="C25" s="7" t="s">
        <v>236</v>
      </c>
      <c r="D25" s="5">
        <v>6</v>
      </c>
      <c r="E25" s="5" t="str">
        <f t="shared" si="1"/>
        <v>1AA3</v>
      </c>
      <c r="F25" s="6" t="s">
        <v>41</v>
      </c>
      <c r="G25" s="6"/>
      <c r="H25" s="6">
        <v>3</v>
      </c>
      <c r="I25" s="8" t="s">
        <v>204</v>
      </c>
      <c r="J25" s="6"/>
      <c r="K25" s="9">
        <v>5000000</v>
      </c>
      <c r="L25" s="6"/>
      <c r="M25" s="6"/>
      <c r="N25" t="s">
        <v>601</v>
      </c>
      <c r="O25" t="s">
        <v>601</v>
      </c>
      <c r="P25" t="s">
        <v>601</v>
      </c>
      <c r="Q25" t="s">
        <v>601</v>
      </c>
      <c r="R25" t="s">
        <v>601</v>
      </c>
      <c r="S25" t="s">
        <v>601</v>
      </c>
    </row>
    <row r="26" spans="1:19" ht="14.25" x14ac:dyDescent="0.15">
      <c r="A26" s="4" t="s">
        <v>240</v>
      </c>
      <c r="B26" s="7" t="s">
        <v>241</v>
      </c>
      <c r="C26" s="7" t="s">
        <v>242</v>
      </c>
      <c r="D26" s="5">
        <v>4</v>
      </c>
      <c r="E26" s="5" t="s">
        <v>243</v>
      </c>
      <c r="F26" s="6" t="s">
        <v>244</v>
      </c>
      <c r="G26" s="6"/>
      <c r="H26" s="6"/>
      <c r="I26" s="8">
        <v>29050000</v>
      </c>
      <c r="J26" s="6"/>
      <c r="K26" s="6"/>
      <c r="L26" s="9">
        <v>41500000</v>
      </c>
      <c r="M26" s="6"/>
      <c r="N26" t="s">
        <v>602</v>
      </c>
      <c r="O26" t="s">
        <v>602</v>
      </c>
      <c r="P26" t="s">
        <v>601</v>
      </c>
      <c r="Q26" t="s">
        <v>601</v>
      </c>
      <c r="R26" t="s">
        <v>601</v>
      </c>
      <c r="S26" t="s">
        <v>601</v>
      </c>
    </row>
    <row r="27" spans="1:19" ht="14.25" x14ac:dyDescent="0.15">
      <c r="A27" s="4" t="s">
        <v>245</v>
      </c>
      <c r="B27" s="7" t="s">
        <v>246</v>
      </c>
      <c r="C27" s="7" t="s">
        <v>247</v>
      </c>
      <c r="D27" s="5">
        <v>7</v>
      </c>
      <c r="E27" s="5" t="str">
        <f>F27</f>
        <v>3AA-</v>
      </c>
      <c r="F27" s="6" t="s">
        <v>172</v>
      </c>
      <c r="G27" s="6"/>
      <c r="H27" s="6"/>
      <c r="I27" s="8" t="s">
        <v>248</v>
      </c>
      <c r="J27" s="6"/>
      <c r="K27" s="9">
        <v>57078752</v>
      </c>
      <c r="L27" s="6"/>
      <c r="M27" s="6"/>
      <c r="N27" t="s">
        <v>601</v>
      </c>
      <c r="O27" t="s">
        <v>601</v>
      </c>
      <c r="P27" t="s">
        <v>601</v>
      </c>
      <c r="Q27" t="s">
        <v>601</v>
      </c>
      <c r="R27" t="s">
        <v>601</v>
      </c>
      <c r="S27" t="s">
        <v>601</v>
      </c>
    </row>
    <row r="28" spans="1:19" ht="14.25" x14ac:dyDescent="0.15">
      <c r="A28" s="4" t="s">
        <v>249</v>
      </c>
      <c r="B28" s="7" t="s">
        <v>250</v>
      </c>
      <c r="C28" s="7" t="s">
        <v>251</v>
      </c>
      <c r="D28" s="5">
        <v>3</v>
      </c>
      <c r="E28" s="5" t="str">
        <f t="shared" ref="E28:E44" si="2">F28</f>
        <v>2AA2</v>
      </c>
      <c r="F28" s="6" t="s">
        <v>252</v>
      </c>
      <c r="G28" s="6">
        <v>79</v>
      </c>
      <c r="H28" s="6"/>
      <c r="I28" s="8" t="s">
        <v>253</v>
      </c>
      <c r="J28" s="6"/>
      <c r="K28" s="9">
        <v>7530000</v>
      </c>
      <c r="L28" s="6"/>
      <c r="M28" s="6"/>
      <c r="N28" t="s">
        <v>601</v>
      </c>
      <c r="O28" t="s">
        <v>601</v>
      </c>
      <c r="P28" t="s">
        <v>601</v>
      </c>
      <c r="Q28" t="s">
        <v>601</v>
      </c>
      <c r="R28" t="s">
        <v>601</v>
      </c>
      <c r="S28" t="s">
        <v>601</v>
      </c>
    </row>
    <row r="29" spans="1:19" ht="14.25" x14ac:dyDescent="0.15">
      <c r="A29" s="4" t="s">
        <v>254</v>
      </c>
      <c r="B29" s="7" t="s">
        <v>255</v>
      </c>
      <c r="C29" s="7" t="s">
        <v>203</v>
      </c>
      <c r="D29" s="5">
        <v>8</v>
      </c>
      <c r="E29" s="5" t="str">
        <f t="shared" si="2"/>
        <v>E3</v>
      </c>
      <c r="F29" s="6" t="s">
        <v>256</v>
      </c>
      <c r="G29" s="6"/>
      <c r="H29" s="6"/>
      <c r="I29" s="8" t="s">
        <v>257</v>
      </c>
      <c r="J29" s="6"/>
      <c r="K29" s="9">
        <v>5500000</v>
      </c>
      <c r="L29" s="6"/>
      <c r="M29" s="6"/>
      <c r="N29" t="s">
        <v>601</v>
      </c>
      <c r="O29" t="s">
        <v>601</v>
      </c>
      <c r="P29" t="s">
        <v>601</v>
      </c>
      <c r="Q29" t="s">
        <v>601</v>
      </c>
      <c r="R29" t="s">
        <v>601</v>
      </c>
      <c r="S29" t="s">
        <v>601</v>
      </c>
    </row>
    <row r="30" spans="1:19" ht="14.25" x14ac:dyDescent="0.15">
      <c r="A30" s="4" t="s">
        <v>258</v>
      </c>
      <c r="B30" s="7" t="s">
        <v>259</v>
      </c>
      <c r="C30" s="7" t="s">
        <v>203</v>
      </c>
      <c r="D30" s="5"/>
      <c r="E30" s="5" t="str">
        <f t="shared" si="2"/>
        <v>N4</v>
      </c>
      <c r="F30" s="6" t="s">
        <v>260</v>
      </c>
      <c r="G30" s="6"/>
      <c r="H30" s="6"/>
      <c r="I30" s="8">
        <f>J30*6.15</f>
        <v>1230000</v>
      </c>
      <c r="J30" s="9">
        <v>200000</v>
      </c>
      <c r="K30" s="6"/>
      <c r="L30" s="6"/>
      <c r="M30" s="6"/>
      <c r="N30" t="s">
        <v>601</v>
      </c>
      <c r="O30" t="s">
        <v>601</v>
      </c>
      <c r="P30" t="s">
        <v>601</v>
      </c>
      <c r="Q30" t="s">
        <v>601</v>
      </c>
      <c r="R30" t="s">
        <v>601</v>
      </c>
      <c r="S30" t="s">
        <v>601</v>
      </c>
    </row>
    <row r="31" spans="1:19" ht="14.25" x14ac:dyDescent="0.15">
      <c r="A31" s="4" t="s">
        <v>261</v>
      </c>
      <c r="B31" s="7" t="s">
        <v>262</v>
      </c>
      <c r="C31" s="7" t="s">
        <v>263</v>
      </c>
      <c r="D31" s="5">
        <v>6</v>
      </c>
      <c r="E31" s="5" t="str">
        <f t="shared" si="2"/>
        <v>CC3</v>
      </c>
      <c r="F31" s="6" t="s">
        <v>55</v>
      </c>
      <c r="G31" s="6"/>
      <c r="H31" s="6">
        <v>3</v>
      </c>
      <c r="I31" s="8" t="s">
        <v>179</v>
      </c>
      <c r="J31" s="6"/>
      <c r="K31" s="9">
        <v>1000000</v>
      </c>
      <c r="L31" s="6"/>
      <c r="M31" s="6"/>
      <c r="N31" t="s">
        <v>602</v>
      </c>
      <c r="O31" t="s">
        <v>602</v>
      </c>
      <c r="P31" t="s">
        <v>602</v>
      </c>
      <c r="Q31" t="s">
        <v>602</v>
      </c>
      <c r="R31" t="s">
        <v>601</v>
      </c>
      <c r="S31" t="s">
        <v>601</v>
      </c>
    </row>
    <row r="32" spans="1:19" ht="14.25" x14ac:dyDescent="0.15">
      <c r="A32" s="4" t="s">
        <v>264</v>
      </c>
      <c r="B32" s="7" t="s">
        <v>265</v>
      </c>
      <c r="C32" s="7" t="s">
        <v>266</v>
      </c>
      <c r="D32" s="5">
        <v>7</v>
      </c>
      <c r="E32" s="5" t="str">
        <f t="shared" si="2"/>
        <v>4AA3</v>
      </c>
      <c r="F32" s="6" t="s">
        <v>44</v>
      </c>
      <c r="G32" s="6">
        <v>30</v>
      </c>
      <c r="H32" s="6">
        <v>3</v>
      </c>
      <c r="I32" s="8" t="s">
        <v>267</v>
      </c>
      <c r="J32" s="6"/>
      <c r="K32" s="9">
        <v>300000000</v>
      </c>
      <c r="L32" s="6"/>
      <c r="M32" s="6"/>
      <c r="N32" t="s">
        <v>602</v>
      </c>
      <c r="O32" t="s">
        <v>602</v>
      </c>
      <c r="P32" t="s">
        <v>602</v>
      </c>
      <c r="Q32" t="s">
        <v>601</v>
      </c>
      <c r="R32" t="s">
        <v>602</v>
      </c>
      <c r="S32" t="s">
        <v>601</v>
      </c>
    </row>
    <row r="33" spans="1:19" ht="14.25" x14ac:dyDescent="0.15">
      <c r="A33" s="4" t="s">
        <v>268</v>
      </c>
      <c r="B33" s="7" t="s">
        <v>269</v>
      </c>
      <c r="C33" s="7" t="s">
        <v>263</v>
      </c>
      <c r="D33" s="5">
        <v>8</v>
      </c>
      <c r="E33" s="5" t="str">
        <f t="shared" si="2"/>
        <v>4A3</v>
      </c>
      <c r="F33" s="6" t="s">
        <v>270</v>
      </c>
      <c r="G33" s="6"/>
      <c r="H33" s="6"/>
      <c r="I33" s="8">
        <f>J33*6.15</f>
        <v>246000000</v>
      </c>
      <c r="J33" s="9">
        <v>40000000</v>
      </c>
      <c r="K33" s="6"/>
      <c r="L33" s="6"/>
      <c r="M33" s="6"/>
      <c r="N33" t="s">
        <v>601</v>
      </c>
      <c r="O33" t="s">
        <v>601</v>
      </c>
      <c r="P33" t="s">
        <v>601</v>
      </c>
      <c r="Q33" t="s">
        <v>601</v>
      </c>
      <c r="R33" t="s">
        <v>601</v>
      </c>
      <c r="S33" t="s">
        <v>601</v>
      </c>
    </row>
    <row r="34" spans="1:19" ht="14.25" x14ac:dyDescent="0.15">
      <c r="A34" s="4" t="s">
        <v>271</v>
      </c>
      <c r="B34" s="7" t="s">
        <v>272</v>
      </c>
      <c r="C34" s="7" t="s">
        <v>203</v>
      </c>
      <c r="D34" s="5">
        <v>6</v>
      </c>
      <c r="E34" s="5" t="str">
        <f t="shared" si="2"/>
        <v>3A3</v>
      </c>
      <c r="F34" s="6" t="s">
        <v>187</v>
      </c>
      <c r="G34" s="6"/>
      <c r="H34" s="6"/>
      <c r="I34" s="8" t="s">
        <v>273</v>
      </c>
      <c r="J34" s="6"/>
      <c r="K34" s="9">
        <v>9100000</v>
      </c>
      <c r="L34" s="6"/>
      <c r="M34" s="6"/>
      <c r="N34" t="s">
        <v>601</v>
      </c>
      <c r="O34" t="s">
        <v>601</v>
      </c>
      <c r="P34" t="s">
        <v>601</v>
      </c>
      <c r="Q34" t="s">
        <v>601</v>
      </c>
      <c r="R34" t="s">
        <v>601</v>
      </c>
      <c r="S34" t="s">
        <v>601</v>
      </c>
    </row>
    <row r="35" spans="1:19" ht="14.25" x14ac:dyDescent="0.15">
      <c r="A35" s="4" t="s">
        <v>274</v>
      </c>
      <c r="B35" s="7" t="s">
        <v>275</v>
      </c>
      <c r="C35" s="7" t="s">
        <v>203</v>
      </c>
      <c r="D35" s="5">
        <v>6</v>
      </c>
      <c r="E35" s="5" t="str">
        <f t="shared" si="2"/>
        <v>3AA3</v>
      </c>
      <c r="F35" s="6" t="s">
        <v>62</v>
      </c>
      <c r="G35" s="6"/>
      <c r="H35" s="6">
        <v>4</v>
      </c>
      <c r="I35" s="8" t="s">
        <v>173</v>
      </c>
      <c r="J35" s="6"/>
      <c r="K35" s="9">
        <v>10000000</v>
      </c>
      <c r="L35" s="6"/>
      <c r="M35" s="6"/>
      <c r="N35" t="s">
        <v>601</v>
      </c>
      <c r="O35" t="s">
        <v>601</v>
      </c>
      <c r="P35" t="s">
        <v>601</v>
      </c>
      <c r="Q35" t="s">
        <v>601</v>
      </c>
      <c r="R35" t="s">
        <v>601</v>
      </c>
      <c r="S35" t="s">
        <v>601</v>
      </c>
    </row>
    <row r="36" spans="1:19" ht="14.25" x14ac:dyDescent="0.15">
      <c r="A36" s="4" t="s">
        <v>276</v>
      </c>
      <c r="B36" s="7" t="s">
        <v>277</v>
      </c>
      <c r="C36" s="7" t="s">
        <v>222</v>
      </c>
      <c r="D36" s="5">
        <v>6</v>
      </c>
      <c r="E36" s="5" t="str">
        <f t="shared" si="2"/>
        <v>3A3</v>
      </c>
      <c r="F36" s="6" t="s">
        <v>187</v>
      </c>
      <c r="G36" s="6"/>
      <c r="H36" s="6"/>
      <c r="I36" s="8" t="s">
        <v>173</v>
      </c>
      <c r="J36" s="6"/>
      <c r="K36" s="9">
        <v>10000000</v>
      </c>
      <c r="L36" s="6"/>
      <c r="M36" s="6"/>
      <c r="N36" t="s">
        <v>601</v>
      </c>
      <c r="O36" t="s">
        <v>601</v>
      </c>
      <c r="P36" t="s">
        <v>601</v>
      </c>
      <c r="Q36" t="s">
        <v>601</v>
      </c>
      <c r="R36" t="s">
        <v>601</v>
      </c>
      <c r="S36" t="s">
        <v>601</v>
      </c>
    </row>
    <row r="37" spans="1:19" ht="14.25" x14ac:dyDescent="0.15">
      <c r="A37" s="4" t="s">
        <v>278</v>
      </c>
      <c r="B37" s="7" t="s">
        <v>279</v>
      </c>
      <c r="C37" s="7" t="s">
        <v>222</v>
      </c>
      <c r="D37" s="5">
        <v>1</v>
      </c>
      <c r="E37" s="5" t="str">
        <f t="shared" si="2"/>
        <v>4A1</v>
      </c>
      <c r="F37" s="6" t="s">
        <v>280</v>
      </c>
      <c r="G37" s="6"/>
      <c r="H37" s="6"/>
      <c r="I37" s="8" t="s">
        <v>281</v>
      </c>
      <c r="J37" s="6"/>
      <c r="K37" s="9">
        <v>20880000</v>
      </c>
      <c r="L37" s="6"/>
      <c r="M37" s="6"/>
      <c r="N37" t="s">
        <v>601</v>
      </c>
      <c r="O37" t="s">
        <v>601</v>
      </c>
      <c r="P37" t="s">
        <v>601</v>
      </c>
      <c r="Q37" t="s">
        <v>601</v>
      </c>
      <c r="R37" t="s">
        <v>601</v>
      </c>
      <c r="S37" t="s">
        <v>601</v>
      </c>
    </row>
    <row r="38" spans="1:19" ht="14.25" x14ac:dyDescent="0.15">
      <c r="A38" s="4" t="s">
        <v>282</v>
      </c>
      <c r="B38" s="7" t="s">
        <v>283</v>
      </c>
      <c r="C38" s="7" t="s">
        <v>222</v>
      </c>
      <c r="D38" s="5">
        <v>9</v>
      </c>
      <c r="E38" s="5" t="str">
        <f t="shared" si="2"/>
        <v>AA-</v>
      </c>
      <c r="F38" s="6" t="s">
        <v>284</v>
      </c>
      <c r="G38" s="6"/>
      <c r="H38" s="6"/>
      <c r="I38" s="8" t="s">
        <v>285</v>
      </c>
      <c r="J38" s="6"/>
      <c r="K38" s="9">
        <v>2500000</v>
      </c>
      <c r="L38" s="6"/>
      <c r="M38" s="6"/>
      <c r="N38" t="s">
        <v>601</v>
      </c>
      <c r="O38" t="s">
        <v>601</v>
      </c>
      <c r="P38" t="s">
        <v>601</v>
      </c>
      <c r="Q38" t="s">
        <v>601</v>
      </c>
      <c r="R38" t="s">
        <v>601</v>
      </c>
      <c r="S38" t="s">
        <v>601</v>
      </c>
    </row>
    <row r="39" spans="1:19" ht="14.25" x14ac:dyDescent="0.15">
      <c r="A39" s="4" t="s">
        <v>286</v>
      </c>
      <c r="B39" s="7" t="s">
        <v>287</v>
      </c>
      <c r="C39" s="7" t="s">
        <v>222</v>
      </c>
      <c r="D39" s="5">
        <v>3</v>
      </c>
      <c r="E39" s="5" t="str">
        <f t="shared" si="2"/>
        <v>3A2</v>
      </c>
      <c r="F39" s="6" t="s">
        <v>233</v>
      </c>
      <c r="G39" s="6"/>
      <c r="H39" s="6"/>
      <c r="I39" s="8" t="s">
        <v>288</v>
      </c>
      <c r="J39" s="6"/>
      <c r="K39" s="9">
        <v>3000000</v>
      </c>
      <c r="L39" s="6"/>
      <c r="M39" s="6"/>
      <c r="N39" t="s">
        <v>601</v>
      </c>
      <c r="O39" t="s">
        <v>601</v>
      </c>
      <c r="P39" t="s">
        <v>601</v>
      </c>
      <c r="Q39" t="s">
        <v>601</v>
      </c>
      <c r="R39" t="s">
        <v>601</v>
      </c>
      <c r="S39" t="s">
        <v>601</v>
      </c>
    </row>
    <row r="40" spans="1:19" ht="14.25" x14ac:dyDescent="0.15">
      <c r="A40" s="4" t="s">
        <v>289</v>
      </c>
      <c r="B40" s="7" t="s">
        <v>290</v>
      </c>
      <c r="C40" s="7" t="s">
        <v>291</v>
      </c>
      <c r="D40" s="5">
        <v>3</v>
      </c>
      <c r="E40" s="5" t="str">
        <f t="shared" si="2"/>
        <v>5AA2</v>
      </c>
      <c r="F40" s="6" t="s">
        <v>110</v>
      </c>
      <c r="G40" s="6">
        <v>67</v>
      </c>
      <c r="H40" s="6">
        <v>2</v>
      </c>
      <c r="I40" s="8">
        <f>J40*6.15</f>
        <v>1242423000</v>
      </c>
      <c r="J40" s="9">
        <v>202020000</v>
      </c>
      <c r="K40" s="6"/>
      <c r="L40" s="6"/>
      <c r="M40" s="6"/>
      <c r="N40" t="s">
        <v>601</v>
      </c>
      <c r="O40" t="s">
        <v>601</v>
      </c>
      <c r="P40" t="s">
        <v>601</v>
      </c>
      <c r="Q40" t="s">
        <v>601</v>
      </c>
      <c r="R40" t="s">
        <v>601</v>
      </c>
      <c r="S40" t="s">
        <v>601</v>
      </c>
    </row>
    <row r="41" spans="1:19" ht="14.25" x14ac:dyDescent="0.15">
      <c r="A41" s="4" t="s">
        <v>292</v>
      </c>
      <c r="B41" s="7" t="s">
        <v>293</v>
      </c>
      <c r="C41" s="7" t="s">
        <v>203</v>
      </c>
      <c r="D41" s="5">
        <v>6</v>
      </c>
      <c r="E41" s="5" t="str">
        <f t="shared" si="2"/>
        <v>1AA-</v>
      </c>
      <c r="F41" s="6" t="s">
        <v>219</v>
      </c>
      <c r="G41" s="6"/>
      <c r="H41" s="6"/>
      <c r="I41" s="8" t="s">
        <v>204</v>
      </c>
      <c r="J41" s="6"/>
      <c r="K41" s="9">
        <v>5000000</v>
      </c>
      <c r="L41" s="6"/>
      <c r="M41" s="6"/>
      <c r="N41" t="s">
        <v>601</v>
      </c>
      <c r="O41" t="s">
        <v>601</v>
      </c>
      <c r="P41" t="s">
        <v>601</v>
      </c>
      <c r="Q41" t="s">
        <v>601</v>
      </c>
      <c r="R41" t="s">
        <v>601</v>
      </c>
      <c r="S41" t="s">
        <v>601</v>
      </c>
    </row>
    <row r="42" spans="1:19" ht="14.25" x14ac:dyDescent="0.15">
      <c r="A42" s="4" t="s">
        <v>294</v>
      </c>
      <c r="B42" s="7" t="s">
        <v>295</v>
      </c>
      <c r="C42" s="7" t="s">
        <v>203</v>
      </c>
      <c r="D42" s="5"/>
      <c r="E42" s="5" t="str">
        <f t="shared" si="2"/>
        <v>O3</v>
      </c>
      <c r="F42" s="6" t="s">
        <v>296</v>
      </c>
      <c r="G42" s="6"/>
      <c r="H42" s="6"/>
      <c r="I42" s="8" t="s">
        <v>204</v>
      </c>
      <c r="J42" s="6"/>
      <c r="K42" s="9">
        <v>5000000</v>
      </c>
      <c r="L42" s="6"/>
      <c r="M42" s="6"/>
      <c r="N42" t="s">
        <v>602</v>
      </c>
      <c r="O42" t="s">
        <v>602</v>
      </c>
      <c r="P42" t="s">
        <v>602</v>
      </c>
      <c r="Q42" t="s">
        <v>601</v>
      </c>
      <c r="R42" t="s">
        <v>602</v>
      </c>
      <c r="S42" t="s">
        <v>601</v>
      </c>
    </row>
    <row r="43" spans="1:19" ht="14.25" x14ac:dyDescent="0.15">
      <c r="A43" s="4" t="s">
        <v>297</v>
      </c>
      <c r="B43" s="7" t="s">
        <v>298</v>
      </c>
      <c r="C43" s="7" t="s">
        <v>203</v>
      </c>
      <c r="D43" s="5">
        <v>1</v>
      </c>
      <c r="E43" s="5" t="str">
        <f t="shared" si="2"/>
        <v>3AA1</v>
      </c>
      <c r="F43" s="6" t="s">
        <v>161</v>
      </c>
      <c r="G43" s="6">
        <v>80</v>
      </c>
      <c r="H43" s="6">
        <v>2</v>
      </c>
      <c r="I43" s="8" t="s">
        <v>299</v>
      </c>
      <c r="J43" s="6"/>
      <c r="K43" s="9">
        <v>20000000</v>
      </c>
      <c r="L43" s="6"/>
      <c r="M43" s="6"/>
      <c r="N43" t="s">
        <v>602</v>
      </c>
      <c r="O43" t="s">
        <v>602</v>
      </c>
      <c r="P43" t="s">
        <v>601</v>
      </c>
      <c r="Q43" t="s">
        <v>601</v>
      </c>
      <c r="R43" t="s">
        <v>601</v>
      </c>
      <c r="S43" t="s">
        <v>601</v>
      </c>
    </row>
    <row r="44" spans="1:19" ht="14.25" x14ac:dyDescent="0.15">
      <c r="A44" s="4" t="s">
        <v>300</v>
      </c>
      <c r="B44" s="7" t="s">
        <v>301</v>
      </c>
      <c r="C44" s="7" t="s">
        <v>203</v>
      </c>
      <c r="D44" s="5">
        <v>8</v>
      </c>
      <c r="E44" s="5" t="str">
        <f t="shared" si="2"/>
        <v>CC3</v>
      </c>
      <c r="F44" s="6" t="s">
        <v>55</v>
      </c>
      <c r="G44" s="6"/>
      <c r="H44" s="6"/>
      <c r="I44" s="8" t="s">
        <v>179</v>
      </c>
      <c r="J44" s="6"/>
      <c r="K44" s="9">
        <v>1000000</v>
      </c>
      <c r="L44" s="6"/>
      <c r="M44" s="6"/>
      <c r="N44" t="s">
        <v>601</v>
      </c>
      <c r="O44" t="s">
        <v>601</v>
      </c>
      <c r="P44" t="s">
        <v>601</v>
      </c>
      <c r="Q44" t="s">
        <v>601</v>
      </c>
      <c r="R44" t="s">
        <v>601</v>
      </c>
      <c r="S44" t="s">
        <v>601</v>
      </c>
    </row>
    <row r="45" spans="1:19" ht="14.25" x14ac:dyDescent="0.15">
      <c r="A45" s="4" t="s">
        <v>302</v>
      </c>
      <c r="B45" s="7" t="s">
        <v>303</v>
      </c>
      <c r="C45" s="7" t="s">
        <v>304</v>
      </c>
      <c r="D45" s="5">
        <v>8</v>
      </c>
      <c r="E45" s="5"/>
      <c r="F45" s="6" t="s">
        <v>305</v>
      </c>
      <c r="G45" s="6">
        <v>79</v>
      </c>
      <c r="H45" s="6"/>
      <c r="I45" s="11">
        <v>35000000</v>
      </c>
      <c r="J45" s="6"/>
      <c r="K45" s="6"/>
      <c r="L45" s="9">
        <v>50000000</v>
      </c>
      <c r="M45" s="6"/>
      <c r="N45" t="s">
        <v>601</v>
      </c>
      <c r="O45" t="s">
        <v>601</v>
      </c>
      <c r="P45" t="s">
        <v>601</v>
      </c>
      <c r="Q45" t="s">
        <v>601</v>
      </c>
      <c r="R45" t="s">
        <v>601</v>
      </c>
      <c r="S45" t="s">
        <v>601</v>
      </c>
    </row>
    <row r="46" spans="1:19" ht="14.25" x14ac:dyDescent="0.15">
      <c r="A46" s="4" t="s">
        <v>306</v>
      </c>
      <c r="B46" s="7" t="s">
        <v>307</v>
      </c>
      <c r="C46" s="7" t="s">
        <v>308</v>
      </c>
      <c r="D46" s="5">
        <v>6</v>
      </c>
      <c r="E46" s="5" t="s">
        <v>309</v>
      </c>
      <c r="F46" s="6" t="s">
        <v>310</v>
      </c>
      <c r="G46" s="6">
        <v>80</v>
      </c>
      <c r="H46" s="6"/>
      <c r="I46" s="8">
        <f>J46*6.15</f>
        <v>50846970</v>
      </c>
      <c r="J46" s="9">
        <v>8267800</v>
      </c>
      <c r="K46" s="6"/>
      <c r="L46" s="6"/>
      <c r="M46" s="6"/>
      <c r="N46" t="s">
        <v>601</v>
      </c>
      <c r="O46" t="s">
        <v>601</v>
      </c>
      <c r="P46" t="s">
        <v>601</v>
      </c>
      <c r="Q46" t="s">
        <v>601</v>
      </c>
      <c r="R46" t="s">
        <v>601</v>
      </c>
      <c r="S46" t="s">
        <v>601</v>
      </c>
    </row>
    <row r="47" spans="1:19" ht="14.25" x14ac:dyDescent="0.15">
      <c r="A47" s="4" t="s">
        <v>311</v>
      </c>
      <c r="B47" s="7" t="s">
        <v>312</v>
      </c>
      <c r="C47" s="7" t="s">
        <v>313</v>
      </c>
      <c r="D47" s="5">
        <v>1</v>
      </c>
      <c r="E47" s="5" t="s">
        <v>314</v>
      </c>
      <c r="F47" s="6" t="s">
        <v>280</v>
      </c>
      <c r="G47" s="6">
        <v>79</v>
      </c>
      <c r="H47" s="6"/>
      <c r="I47" s="8">
        <f>J47*6.15</f>
        <v>43111500</v>
      </c>
      <c r="J47" s="9">
        <v>7010000</v>
      </c>
      <c r="K47" s="6"/>
      <c r="L47" s="6"/>
      <c r="M47" s="6"/>
      <c r="N47" t="s">
        <v>601</v>
      </c>
      <c r="O47" t="s">
        <v>601</v>
      </c>
      <c r="P47" t="s">
        <v>601</v>
      </c>
      <c r="Q47" t="s">
        <v>601</v>
      </c>
      <c r="R47" t="s">
        <v>601</v>
      </c>
      <c r="S47" t="s">
        <v>601</v>
      </c>
    </row>
    <row r="48" spans="1:19" ht="14.25" x14ac:dyDescent="0.15">
      <c r="A48" s="4" t="s">
        <v>315</v>
      </c>
      <c r="B48" s="7" t="s">
        <v>316</v>
      </c>
      <c r="C48" s="7" t="s">
        <v>203</v>
      </c>
      <c r="D48" s="5">
        <v>6</v>
      </c>
      <c r="E48" s="5" t="s">
        <v>317</v>
      </c>
      <c r="F48" s="6" t="s">
        <v>305</v>
      </c>
      <c r="G48" s="6">
        <v>80</v>
      </c>
      <c r="H48" s="6"/>
      <c r="I48" s="8">
        <f>J48*6.15</f>
        <v>12140100</v>
      </c>
      <c r="J48" s="9">
        <v>1974000</v>
      </c>
      <c r="K48" s="6"/>
      <c r="L48" s="6"/>
      <c r="M48" s="6"/>
      <c r="N48" t="s">
        <v>601</v>
      </c>
      <c r="O48" t="s">
        <v>601</v>
      </c>
      <c r="P48" t="s">
        <v>601</v>
      </c>
      <c r="Q48" t="s">
        <v>601</v>
      </c>
      <c r="R48" t="s">
        <v>601</v>
      </c>
      <c r="S48" t="s">
        <v>601</v>
      </c>
    </row>
    <row r="49" spans="1:19" ht="14.25" x14ac:dyDescent="0.15">
      <c r="A49" s="4" t="s">
        <v>318</v>
      </c>
      <c r="B49" s="7" t="s">
        <v>319</v>
      </c>
      <c r="C49" s="7" t="s">
        <v>203</v>
      </c>
      <c r="D49" s="5">
        <v>4</v>
      </c>
      <c r="E49" s="5" t="s">
        <v>320</v>
      </c>
      <c r="F49" s="6" t="s">
        <v>321</v>
      </c>
      <c r="G49" s="6">
        <v>54</v>
      </c>
      <c r="H49" s="6"/>
      <c r="I49" s="8" t="s">
        <v>322</v>
      </c>
      <c r="J49" s="6"/>
      <c r="K49" s="9">
        <v>1018394483</v>
      </c>
      <c r="L49" s="6"/>
      <c r="M49" s="6"/>
      <c r="N49" t="s">
        <v>601</v>
      </c>
      <c r="O49" t="s">
        <v>601</v>
      </c>
      <c r="P49" t="s">
        <v>601</v>
      </c>
      <c r="Q49" t="s">
        <v>601</v>
      </c>
      <c r="R49" t="s">
        <v>601</v>
      </c>
      <c r="S49" t="s">
        <v>601</v>
      </c>
    </row>
    <row r="50" spans="1:19" ht="14.25" x14ac:dyDescent="0.15">
      <c r="A50" s="4" t="s">
        <v>323</v>
      </c>
      <c r="B50" s="7" t="s">
        <v>324</v>
      </c>
      <c r="C50" s="7" t="s">
        <v>203</v>
      </c>
      <c r="D50" s="5">
        <v>6</v>
      </c>
      <c r="E50" s="5" t="s">
        <v>325</v>
      </c>
      <c r="F50" s="6" t="s">
        <v>296</v>
      </c>
      <c r="G50" s="6">
        <v>78</v>
      </c>
      <c r="H50" s="6"/>
      <c r="I50" s="8" t="s">
        <v>326</v>
      </c>
      <c r="J50" s="6"/>
      <c r="K50" s="9">
        <v>10880000</v>
      </c>
      <c r="L50" s="6"/>
      <c r="M50" s="6"/>
      <c r="N50" t="s">
        <v>601</v>
      </c>
      <c r="O50" t="s">
        <v>601</v>
      </c>
      <c r="P50" t="s">
        <v>601</v>
      </c>
      <c r="Q50" t="s">
        <v>601</v>
      </c>
      <c r="R50" t="s">
        <v>601</v>
      </c>
      <c r="S50" t="s">
        <v>601</v>
      </c>
    </row>
    <row r="51" spans="1:19" ht="14.25" x14ac:dyDescent="0.15">
      <c r="A51" s="4" t="s">
        <v>327</v>
      </c>
      <c r="B51" s="7" t="s">
        <v>328</v>
      </c>
      <c r="C51" s="7" t="s">
        <v>329</v>
      </c>
      <c r="D51" s="5">
        <v>5</v>
      </c>
      <c r="E51" s="5" t="s">
        <v>330</v>
      </c>
      <c r="F51" s="6" t="s">
        <v>66</v>
      </c>
      <c r="G51" s="6"/>
      <c r="H51" s="6"/>
      <c r="I51" s="8">
        <f>J51*6.15</f>
        <v>1230000</v>
      </c>
      <c r="J51" s="9">
        <v>200000</v>
      </c>
      <c r="K51" s="6"/>
      <c r="L51" s="6"/>
      <c r="M51" s="6"/>
      <c r="N51" t="s">
        <v>601</v>
      </c>
      <c r="O51" t="s">
        <v>601</v>
      </c>
      <c r="P51" t="s">
        <v>601</v>
      </c>
      <c r="Q51" t="s">
        <v>601</v>
      </c>
      <c r="R51" t="s">
        <v>601</v>
      </c>
      <c r="S51" t="s">
        <v>601</v>
      </c>
    </row>
    <row r="52" spans="1:19" ht="14.25" x14ac:dyDescent="0.15">
      <c r="A52" s="4" t="s">
        <v>331</v>
      </c>
      <c r="B52" s="7" t="s">
        <v>332</v>
      </c>
      <c r="C52" s="7" t="s">
        <v>333</v>
      </c>
      <c r="D52" s="5">
        <v>4</v>
      </c>
      <c r="E52" s="5" t="s">
        <v>334</v>
      </c>
      <c r="F52" s="6" t="s">
        <v>335</v>
      </c>
      <c r="G52" s="6">
        <v>79</v>
      </c>
      <c r="H52" s="6"/>
      <c r="I52" s="8">
        <f>J52*6.15</f>
        <v>73800000</v>
      </c>
      <c r="J52" s="9">
        <v>12000000</v>
      </c>
      <c r="K52" s="6"/>
      <c r="L52" s="6"/>
      <c r="M52" s="6"/>
      <c r="N52" t="s">
        <v>601</v>
      </c>
      <c r="O52" t="s">
        <v>601</v>
      </c>
      <c r="P52" t="s">
        <v>601</v>
      </c>
      <c r="Q52" t="s">
        <v>601</v>
      </c>
      <c r="R52" t="s">
        <v>601</v>
      </c>
      <c r="S52" t="s">
        <v>601</v>
      </c>
    </row>
    <row r="53" spans="1:19" ht="14.25" x14ac:dyDescent="0.15">
      <c r="A53" s="4" t="s">
        <v>336</v>
      </c>
      <c r="B53" s="7" t="s">
        <v>337</v>
      </c>
      <c r="C53" s="7" t="s">
        <v>203</v>
      </c>
      <c r="D53" s="5">
        <v>6</v>
      </c>
      <c r="E53" s="5" t="s">
        <v>338</v>
      </c>
      <c r="F53" s="6" t="s">
        <v>219</v>
      </c>
      <c r="G53" s="6"/>
      <c r="H53" s="6">
        <v>4</v>
      </c>
      <c r="I53" s="8" t="s">
        <v>204</v>
      </c>
      <c r="J53" s="6"/>
      <c r="K53" s="9">
        <v>5000000</v>
      </c>
      <c r="L53" s="6"/>
      <c r="M53" s="6"/>
      <c r="N53" t="s">
        <v>601</v>
      </c>
      <c r="O53" t="s">
        <v>601</v>
      </c>
      <c r="P53" t="s">
        <v>601</v>
      </c>
      <c r="Q53" t="s">
        <v>601</v>
      </c>
      <c r="R53" t="s">
        <v>601</v>
      </c>
      <c r="S53" t="s">
        <v>601</v>
      </c>
    </row>
    <row r="54" spans="1:19" ht="14.25" x14ac:dyDescent="0.15">
      <c r="A54" s="4" t="s">
        <v>339</v>
      </c>
      <c r="B54" s="7" t="s">
        <v>340</v>
      </c>
      <c r="C54" s="7" t="s">
        <v>203</v>
      </c>
      <c r="D54" s="5">
        <v>7</v>
      </c>
      <c r="E54" s="5" t="s">
        <v>341</v>
      </c>
      <c r="F54" s="6" t="s">
        <v>342</v>
      </c>
      <c r="G54" s="6"/>
      <c r="H54" s="6"/>
      <c r="I54" s="8" t="s">
        <v>179</v>
      </c>
      <c r="J54" s="6"/>
      <c r="K54" s="9">
        <v>1000000</v>
      </c>
      <c r="L54" s="6"/>
      <c r="M54" s="6"/>
      <c r="N54" t="s">
        <v>601</v>
      </c>
      <c r="O54" t="s">
        <v>601</v>
      </c>
      <c r="P54" t="s">
        <v>601</v>
      </c>
      <c r="Q54" t="s">
        <v>601</v>
      </c>
      <c r="R54" t="s">
        <v>601</v>
      </c>
      <c r="S54" t="s">
        <v>601</v>
      </c>
    </row>
    <row r="55" spans="1:19" ht="14.25" x14ac:dyDescent="0.15">
      <c r="A55" s="7" t="s">
        <v>343</v>
      </c>
      <c r="B55" s="7" t="s">
        <v>344</v>
      </c>
      <c r="C55" s="7" t="s">
        <v>345</v>
      </c>
      <c r="D55" s="5">
        <v>10</v>
      </c>
      <c r="E55" s="5" t="s">
        <v>317</v>
      </c>
      <c r="F55" s="6" t="s">
        <v>187</v>
      </c>
      <c r="G55" s="6"/>
      <c r="H55" s="6"/>
      <c r="I55" s="8" t="s">
        <v>346</v>
      </c>
      <c r="J55" s="6"/>
      <c r="K55" s="9">
        <v>50000000</v>
      </c>
      <c r="L55" s="6"/>
      <c r="M55" s="6"/>
      <c r="N55" t="s">
        <v>601</v>
      </c>
      <c r="O55" t="s">
        <v>601</v>
      </c>
      <c r="P55" t="s">
        <v>601</v>
      </c>
      <c r="Q55" t="s">
        <v>601</v>
      </c>
      <c r="R55" t="s">
        <v>601</v>
      </c>
      <c r="S55" t="s">
        <v>601</v>
      </c>
    </row>
    <row r="56" spans="1:19" ht="14.25" x14ac:dyDescent="0.15">
      <c r="A56" s="4" t="s">
        <v>347</v>
      </c>
      <c r="B56" s="7" t="s">
        <v>348</v>
      </c>
      <c r="C56" s="7" t="s">
        <v>349</v>
      </c>
      <c r="D56" s="5">
        <v>5</v>
      </c>
      <c r="E56" s="5" t="s">
        <v>350</v>
      </c>
      <c r="F56" s="6" t="s">
        <v>9</v>
      </c>
      <c r="G56" s="6"/>
      <c r="H56" s="6">
        <v>3</v>
      </c>
      <c r="I56" s="8" t="s">
        <v>351</v>
      </c>
      <c r="J56" s="6"/>
      <c r="K56" s="9">
        <v>38000000</v>
      </c>
      <c r="L56" s="6"/>
      <c r="M56" s="6"/>
      <c r="N56" t="s">
        <v>601</v>
      </c>
      <c r="O56" t="s">
        <v>601</v>
      </c>
      <c r="P56" t="s">
        <v>601</v>
      </c>
      <c r="Q56" t="s">
        <v>601</v>
      </c>
      <c r="R56" t="s">
        <v>601</v>
      </c>
      <c r="S56" t="s">
        <v>601</v>
      </c>
    </row>
    <row r="57" spans="1:19" ht="14.25" x14ac:dyDescent="0.15">
      <c r="A57" s="4" t="s">
        <v>352</v>
      </c>
      <c r="B57" s="7" t="s">
        <v>353</v>
      </c>
      <c r="C57" s="7" t="s">
        <v>354</v>
      </c>
      <c r="D57" s="5">
        <v>7</v>
      </c>
      <c r="E57" s="5" t="s">
        <v>355</v>
      </c>
      <c r="F57" s="6" t="s">
        <v>356</v>
      </c>
      <c r="G57" s="6"/>
      <c r="H57" s="6"/>
      <c r="I57" s="8" t="s">
        <v>204</v>
      </c>
      <c r="J57" s="6"/>
      <c r="K57" s="9">
        <v>5000000</v>
      </c>
      <c r="L57" s="6"/>
      <c r="M57" s="6"/>
      <c r="N57" t="s">
        <v>601</v>
      </c>
      <c r="O57" t="s">
        <v>601</v>
      </c>
      <c r="P57" t="s">
        <v>601</v>
      </c>
      <c r="Q57" t="s">
        <v>601</v>
      </c>
      <c r="R57" t="s">
        <v>601</v>
      </c>
      <c r="S57" t="s">
        <v>601</v>
      </c>
    </row>
    <row r="58" spans="1:19" ht="14.25" x14ac:dyDescent="0.15">
      <c r="A58" s="4" t="s">
        <v>357</v>
      </c>
      <c r="B58" s="7" t="s">
        <v>358</v>
      </c>
      <c r="C58" s="7" t="s">
        <v>354</v>
      </c>
      <c r="D58" s="5">
        <v>6</v>
      </c>
      <c r="E58" s="5" t="s">
        <v>309</v>
      </c>
      <c r="F58" s="6" t="s">
        <v>359</v>
      </c>
      <c r="G58" s="6"/>
      <c r="H58" s="6"/>
      <c r="I58" s="8" t="s">
        <v>360</v>
      </c>
      <c r="J58" s="6"/>
      <c r="K58" s="9">
        <v>374768600</v>
      </c>
      <c r="L58" s="6"/>
      <c r="M58" s="6"/>
      <c r="N58" t="s">
        <v>601</v>
      </c>
      <c r="O58" t="s">
        <v>601</v>
      </c>
      <c r="P58" t="s">
        <v>601</v>
      </c>
      <c r="Q58" t="s">
        <v>601</v>
      </c>
      <c r="R58" t="s">
        <v>601</v>
      </c>
      <c r="S58" t="s">
        <v>601</v>
      </c>
    </row>
    <row r="59" spans="1:19" ht="14.25" x14ac:dyDescent="0.15">
      <c r="A59" s="4" t="s">
        <v>361</v>
      </c>
      <c r="B59" s="7" t="s">
        <v>362</v>
      </c>
      <c r="C59" s="7" t="s">
        <v>203</v>
      </c>
      <c r="D59" s="5">
        <v>9</v>
      </c>
      <c r="E59" s="5" t="s">
        <v>363</v>
      </c>
      <c r="F59" s="6" t="s">
        <v>364</v>
      </c>
      <c r="G59" s="6"/>
      <c r="H59" s="6"/>
      <c r="I59" s="8" t="s">
        <v>204</v>
      </c>
      <c r="J59" s="6"/>
      <c r="K59" s="9">
        <v>5000000</v>
      </c>
      <c r="L59" s="6"/>
      <c r="M59" s="6"/>
      <c r="N59" t="s">
        <v>601</v>
      </c>
      <c r="O59" t="s">
        <v>601</v>
      </c>
      <c r="P59" t="s">
        <v>601</v>
      </c>
      <c r="Q59" t="s">
        <v>601</v>
      </c>
      <c r="R59" t="s">
        <v>601</v>
      </c>
      <c r="S59" t="s">
        <v>601</v>
      </c>
    </row>
    <row r="60" spans="1:19" ht="14.25" x14ac:dyDescent="0.15">
      <c r="A60" s="4" t="s">
        <v>365</v>
      </c>
      <c r="B60" s="7" t="s">
        <v>366</v>
      </c>
      <c r="C60" s="7" t="s">
        <v>367</v>
      </c>
      <c r="D60" s="5">
        <v>9</v>
      </c>
      <c r="E60" s="5" t="s">
        <v>338</v>
      </c>
      <c r="F60" s="6" t="s">
        <v>219</v>
      </c>
      <c r="G60" s="6"/>
      <c r="H60" s="6"/>
      <c r="I60" s="8" t="s">
        <v>204</v>
      </c>
      <c r="J60" s="6"/>
      <c r="K60" s="9">
        <v>5000000</v>
      </c>
      <c r="L60" s="6"/>
      <c r="M60" s="6"/>
      <c r="N60" t="s">
        <v>602</v>
      </c>
      <c r="O60" t="s">
        <v>602</v>
      </c>
      <c r="P60" t="s">
        <v>602</v>
      </c>
      <c r="Q60" t="s">
        <v>602</v>
      </c>
      <c r="R60" t="s">
        <v>602</v>
      </c>
      <c r="S60" t="s">
        <v>601</v>
      </c>
    </row>
    <row r="61" spans="1:19" ht="14.25" x14ac:dyDescent="0.15">
      <c r="A61" s="4" t="s">
        <v>368</v>
      </c>
      <c r="B61" s="7" t="s">
        <v>369</v>
      </c>
      <c r="C61" s="7" t="s">
        <v>203</v>
      </c>
      <c r="D61" s="5">
        <v>2</v>
      </c>
      <c r="E61" s="5" t="s">
        <v>370</v>
      </c>
      <c r="F61" s="6" t="s">
        <v>161</v>
      </c>
      <c r="G61" s="6"/>
      <c r="H61" s="6"/>
      <c r="I61" s="8">
        <f>J61*6.15</f>
        <v>30750000</v>
      </c>
      <c r="J61" s="9">
        <v>5000000</v>
      </c>
      <c r="K61" s="6"/>
      <c r="L61" s="6"/>
      <c r="M61" s="6"/>
      <c r="N61" t="s">
        <v>601</v>
      </c>
      <c r="O61" t="s">
        <v>601</v>
      </c>
      <c r="P61" t="s">
        <v>601</v>
      </c>
      <c r="Q61" t="s">
        <v>601</v>
      </c>
      <c r="R61" t="s">
        <v>601</v>
      </c>
      <c r="S61" t="s">
        <v>601</v>
      </c>
    </row>
    <row r="62" spans="1:19" ht="14.25" x14ac:dyDescent="0.15">
      <c r="A62" s="4" t="s">
        <v>371</v>
      </c>
      <c r="B62" s="7" t="s">
        <v>372</v>
      </c>
      <c r="C62" s="7" t="s">
        <v>203</v>
      </c>
      <c r="D62" s="5">
        <v>5</v>
      </c>
      <c r="E62" s="5"/>
      <c r="F62" s="6"/>
      <c r="G62" s="6"/>
      <c r="H62" s="6"/>
      <c r="I62" s="8" t="s">
        <v>208</v>
      </c>
      <c r="J62" s="6"/>
      <c r="K62" s="9">
        <v>100000000</v>
      </c>
      <c r="L62" s="6"/>
      <c r="M62" s="6"/>
      <c r="N62" t="s">
        <v>601</v>
      </c>
      <c r="O62" t="s">
        <v>601</v>
      </c>
      <c r="P62" t="s">
        <v>601</v>
      </c>
      <c r="Q62" t="s">
        <v>601</v>
      </c>
      <c r="R62" t="s">
        <v>601</v>
      </c>
      <c r="S62" t="s">
        <v>601</v>
      </c>
    </row>
    <row r="63" spans="1:19" ht="14.25" x14ac:dyDescent="0.15">
      <c r="A63" s="4" t="s">
        <v>373</v>
      </c>
      <c r="B63" s="7" t="s">
        <v>374</v>
      </c>
      <c r="C63" s="7" t="s">
        <v>349</v>
      </c>
      <c r="D63" s="5">
        <v>7</v>
      </c>
      <c r="E63" s="5" t="s">
        <v>317</v>
      </c>
      <c r="F63" s="6" t="s">
        <v>305</v>
      </c>
      <c r="G63" s="6"/>
      <c r="H63" s="6"/>
      <c r="I63" s="8">
        <v>78271460</v>
      </c>
      <c r="J63" s="6"/>
      <c r="K63" s="6"/>
      <c r="L63" s="6"/>
      <c r="M63" s="9">
        <v>9545300</v>
      </c>
      <c r="N63" t="s">
        <v>602</v>
      </c>
      <c r="O63" t="s">
        <v>601</v>
      </c>
      <c r="P63" t="s">
        <v>601</v>
      </c>
      <c r="Q63" t="s">
        <v>601</v>
      </c>
      <c r="R63" t="s">
        <v>602</v>
      </c>
      <c r="S63" t="s">
        <v>602</v>
      </c>
    </row>
    <row r="64" spans="1:19" ht="14.25" x14ac:dyDescent="0.15">
      <c r="A64" s="4" t="s">
        <v>375</v>
      </c>
      <c r="B64" s="7" t="s">
        <v>376</v>
      </c>
      <c r="C64" s="7" t="s">
        <v>203</v>
      </c>
      <c r="D64" s="5">
        <v>6</v>
      </c>
      <c r="E64" s="5" t="s">
        <v>377</v>
      </c>
      <c r="F64" s="6" t="s">
        <v>378</v>
      </c>
      <c r="G64" s="6"/>
      <c r="H64" s="6"/>
      <c r="I64" s="8" t="s">
        <v>173</v>
      </c>
      <c r="J64" s="6"/>
      <c r="K64" s="9">
        <v>10000000</v>
      </c>
      <c r="L64" s="6"/>
      <c r="M64" s="6"/>
      <c r="N64" t="s">
        <v>602</v>
      </c>
      <c r="O64" t="s">
        <v>602</v>
      </c>
      <c r="P64" t="s">
        <v>601</v>
      </c>
      <c r="Q64" t="s">
        <v>601</v>
      </c>
      <c r="R64" t="s">
        <v>601</v>
      </c>
      <c r="S64" t="s">
        <v>601</v>
      </c>
    </row>
    <row r="65" spans="1:19" ht="14.25" x14ac:dyDescent="0.15">
      <c r="A65" s="4" t="s">
        <v>379</v>
      </c>
      <c r="B65" s="7" t="s">
        <v>380</v>
      </c>
      <c r="C65" s="7" t="s">
        <v>203</v>
      </c>
      <c r="D65" s="5">
        <v>3</v>
      </c>
      <c r="E65" s="5" t="s">
        <v>381</v>
      </c>
      <c r="F65" s="6" t="s">
        <v>168</v>
      </c>
      <c r="G65" s="6">
        <v>77</v>
      </c>
      <c r="H65" s="6"/>
      <c r="I65" s="8">
        <f>J65*6.15</f>
        <v>21692895</v>
      </c>
      <c r="J65" s="9">
        <v>3527300</v>
      </c>
      <c r="K65" s="6"/>
      <c r="L65" s="6"/>
      <c r="M65" s="6"/>
      <c r="N65" t="s">
        <v>601</v>
      </c>
      <c r="O65" t="s">
        <v>601</v>
      </c>
      <c r="P65" t="s">
        <v>601</v>
      </c>
      <c r="Q65" t="s">
        <v>601</v>
      </c>
      <c r="R65" t="s">
        <v>601</v>
      </c>
      <c r="S65" t="s">
        <v>601</v>
      </c>
    </row>
    <row r="66" spans="1:19" ht="14.25" x14ac:dyDescent="0.15">
      <c r="A66" s="4" t="s">
        <v>382</v>
      </c>
      <c r="B66" s="7" t="s">
        <v>383</v>
      </c>
      <c r="C66" s="7" t="s">
        <v>384</v>
      </c>
      <c r="D66" s="5">
        <v>5</v>
      </c>
      <c r="E66" s="5" t="s">
        <v>350</v>
      </c>
      <c r="F66" s="6" t="s">
        <v>9</v>
      </c>
      <c r="G66" s="6"/>
      <c r="H66" s="6"/>
      <c r="I66" s="8" t="s">
        <v>173</v>
      </c>
      <c r="J66" s="6"/>
      <c r="K66" s="9">
        <v>10000000</v>
      </c>
      <c r="L66" s="6"/>
      <c r="M66" s="6"/>
      <c r="N66" t="s">
        <v>601</v>
      </c>
      <c r="O66" t="s">
        <v>601</v>
      </c>
      <c r="P66" t="s">
        <v>601</v>
      </c>
      <c r="Q66" t="s">
        <v>601</v>
      </c>
      <c r="R66" t="s">
        <v>601</v>
      </c>
      <c r="S66" t="s">
        <v>601</v>
      </c>
    </row>
    <row r="67" spans="1:19" ht="14.25" x14ac:dyDescent="0.15">
      <c r="A67" s="4" t="s">
        <v>385</v>
      </c>
      <c r="B67" s="7" t="s">
        <v>386</v>
      </c>
      <c r="C67" s="7" t="s">
        <v>203</v>
      </c>
      <c r="D67" s="5">
        <v>8</v>
      </c>
      <c r="E67" s="5" t="s">
        <v>387</v>
      </c>
      <c r="F67" s="6" t="s">
        <v>237</v>
      </c>
      <c r="G67" s="6"/>
      <c r="H67" s="6">
        <v>3</v>
      </c>
      <c r="I67" s="8">
        <f>500000*6.15</f>
        <v>3075000</v>
      </c>
      <c r="J67" s="6"/>
      <c r="K67" s="9">
        <v>500000</v>
      </c>
      <c r="L67" s="6"/>
      <c r="M67" s="6"/>
      <c r="N67" t="s">
        <v>601</v>
      </c>
      <c r="O67" t="s">
        <v>601</v>
      </c>
      <c r="P67" t="s">
        <v>601</v>
      </c>
      <c r="Q67" t="s">
        <v>601</v>
      </c>
      <c r="R67" t="s">
        <v>601</v>
      </c>
      <c r="S67" t="s">
        <v>601</v>
      </c>
    </row>
    <row r="68" spans="1:19" ht="14.25" x14ac:dyDescent="0.15">
      <c r="A68" s="4" t="s">
        <v>388</v>
      </c>
      <c r="B68" s="7" t="s">
        <v>389</v>
      </c>
      <c r="C68" s="7" t="s">
        <v>390</v>
      </c>
      <c r="D68" s="5">
        <v>5</v>
      </c>
      <c r="E68" s="5" t="s">
        <v>391</v>
      </c>
      <c r="F68" s="6" t="s">
        <v>392</v>
      </c>
      <c r="G68" s="6"/>
      <c r="H68" s="6"/>
      <c r="I68" s="8">
        <f>500000*6.15</f>
        <v>3075000</v>
      </c>
      <c r="J68" s="6"/>
      <c r="K68" s="9">
        <v>500000</v>
      </c>
      <c r="L68" s="6"/>
      <c r="M68" s="6"/>
      <c r="N68" t="s">
        <v>601</v>
      </c>
      <c r="O68" t="s">
        <v>601</v>
      </c>
      <c r="P68" t="s">
        <v>601</v>
      </c>
      <c r="Q68" t="s">
        <v>601</v>
      </c>
      <c r="R68" t="s">
        <v>601</v>
      </c>
      <c r="S68" t="s">
        <v>601</v>
      </c>
    </row>
    <row r="69" spans="1:19" ht="14.25" x14ac:dyDescent="0.15">
      <c r="A69" s="4" t="s">
        <v>393</v>
      </c>
      <c r="B69" s="7" t="s">
        <v>394</v>
      </c>
      <c r="C69" s="7" t="s">
        <v>203</v>
      </c>
      <c r="D69" s="5">
        <v>5</v>
      </c>
      <c r="E69" s="5" t="s">
        <v>395</v>
      </c>
      <c r="F69" s="6" t="s">
        <v>396</v>
      </c>
      <c r="G69" s="6"/>
      <c r="H69" s="6"/>
      <c r="I69" s="8" t="s">
        <v>397</v>
      </c>
      <c r="J69" s="6"/>
      <c r="K69" s="9">
        <v>1500000</v>
      </c>
      <c r="L69" s="6"/>
      <c r="M69" s="6"/>
      <c r="N69" t="s">
        <v>601</v>
      </c>
      <c r="O69" t="s">
        <v>601</v>
      </c>
      <c r="P69" t="s">
        <v>601</v>
      </c>
      <c r="Q69" t="s">
        <v>601</v>
      </c>
      <c r="R69" t="s">
        <v>601</v>
      </c>
      <c r="S69" t="s">
        <v>601</v>
      </c>
    </row>
    <row r="70" spans="1:19" ht="14.25" x14ac:dyDescent="0.15">
      <c r="A70" s="4" t="s">
        <v>398</v>
      </c>
      <c r="B70" s="7" t="s">
        <v>399</v>
      </c>
      <c r="C70" s="7" t="s">
        <v>203</v>
      </c>
      <c r="D70" s="5">
        <v>8</v>
      </c>
      <c r="E70" s="5" t="s">
        <v>400</v>
      </c>
      <c r="F70" s="6" t="s">
        <v>401</v>
      </c>
      <c r="G70" s="6"/>
      <c r="H70" s="6"/>
      <c r="I70" s="8" t="s">
        <v>402</v>
      </c>
      <c r="J70" s="6"/>
      <c r="K70" s="9">
        <v>2000000</v>
      </c>
      <c r="L70" s="6"/>
      <c r="M70" s="6"/>
      <c r="N70" t="s">
        <v>601</v>
      </c>
      <c r="O70" t="s">
        <v>601</v>
      </c>
      <c r="P70" t="s">
        <v>601</v>
      </c>
      <c r="Q70" t="s">
        <v>601</v>
      </c>
      <c r="R70" t="s">
        <v>601</v>
      </c>
      <c r="S70" t="s">
        <v>601</v>
      </c>
    </row>
    <row r="71" spans="1:19" ht="14.25" x14ac:dyDescent="0.15">
      <c r="A71" s="4" t="s">
        <v>403</v>
      </c>
      <c r="B71" s="7" t="s">
        <v>404</v>
      </c>
      <c r="C71" s="7" t="s">
        <v>354</v>
      </c>
      <c r="D71" s="5">
        <v>4</v>
      </c>
      <c r="E71" s="5" t="s">
        <v>405</v>
      </c>
      <c r="F71" s="6" t="s">
        <v>406</v>
      </c>
      <c r="G71" s="6"/>
      <c r="H71" s="6"/>
      <c r="I71" s="8" t="s">
        <v>407</v>
      </c>
      <c r="J71" s="6"/>
      <c r="K71" s="9">
        <v>6000000</v>
      </c>
      <c r="L71" s="6"/>
      <c r="M71" s="6"/>
      <c r="N71" t="s">
        <v>602</v>
      </c>
      <c r="O71" t="s">
        <v>602</v>
      </c>
      <c r="P71" t="s">
        <v>601</v>
      </c>
      <c r="Q71" t="s">
        <v>601</v>
      </c>
      <c r="R71" t="s">
        <v>601</v>
      </c>
      <c r="S71" t="s">
        <v>601</v>
      </c>
    </row>
    <row r="72" spans="1:19" ht="14.25" x14ac:dyDescent="0.15">
      <c r="A72" s="4" t="s">
        <v>408</v>
      </c>
      <c r="B72" s="7" t="s">
        <v>409</v>
      </c>
      <c r="C72" s="7" t="s">
        <v>354</v>
      </c>
      <c r="D72" s="5">
        <v>7</v>
      </c>
      <c r="E72" s="5" t="str">
        <f>F72</f>
        <v>E3</v>
      </c>
      <c r="F72" s="6" t="s">
        <v>256</v>
      </c>
      <c r="G72" s="6"/>
      <c r="H72" s="6"/>
      <c r="I72" s="8" t="s">
        <v>179</v>
      </c>
      <c r="J72" s="6"/>
      <c r="K72" s="9">
        <v>1000000</v>
      </c>
      <c r="L72" s="6"/>
      <c r="M72" s="6"/>
      <c r="N72" t="s">
        <v>601</v>
      </c>
      <c r="O72" t="s">
        <v>601</v>
      </c>
      <c r="P72" t="s">
        <v>601</v>
      </c>
      <c r="Q72" t="s">
        <v>601</v>
      </c>
      <c r="R72" t="s">
        <v>601</v>
      </c>
      <c r="S72" t="s">
        <v>601</v>
      </c>
    </row>
    <row r="73" spans="1:19" ht="14.25" x14ac:dyDescent="0.15">
      <c r="A73" s="7" t="s">
        <v>410</v>
      </c>
      <c r="B73" s="7" t="s">
        <v>411</v>
      </c>
      <c r="C73" s="7" t="s">
        <v>203</v>
      </c>
      <c r="D73" s="5">
        <v>9</v>
      </c>
      <c r="E73" s="5" t="str">
        <f t="shared" ref="E73:E75" si="3">F73</f>
        <v>CC-</v>
      </c>
      <c r="F73" s="6" t="s">
        <v>342</v>
      </c>
      <c r="G73" s="6">
        <v>14</v>
      </c>
      <c r="H73" s="6"/>
      <c r="I73" s="8" t="s">
        <v>179</v>
      </c>
      <c r="J73" s="6"/>
      <c r="K73" s="9">
        <v>1000000</v>
      </c>
      <c r="L73" s="6"/>
      <c r="M73" s="6"/>
      <c r="N73" t="s">
        <v>601</v>
      </c>
      <c r="O73" t="s">
        <v>601</v>
      </c>
      <c r="P73" t="s">
        <v>601</v>
      </c>
      <c r="Q73" t="s">
        <v>601</v>
      </c>
      <c r="R73" t="s">
        <v>601</v>
      </c>
      <c r="S73" t="s">
        <v>601</v>
      </c>
    </row>
    <row r="74" spans="1:19" ht="14.25" x14ac:dyDescent="0.15">
      <c r="A74" s="4" t="s">
        <v>412</v>
      </c>
      <c r="B74" s="7" t="s">
        <v>413</v>
      </c>
      <c r="C74" s="7" t="s">
        <v>414</v>
      </c>
      <c r="D74" s="5">
        <v>4</v>
      </c>
      <c r="E74" s="5" t="str">
        <f t="shared" si="3"/>
        <v>AA2</v>
      </c>
      <c r="F74" s="6" t="s">
        <v>35</v>
      </c>
      <c r="G74" s="6"/>
      <c r="H74" s="6">
        <v>3</v>
      </c>
      <c r="I74" s="8" t="s">
        <v>288</v>
      </c>
      <c r="J74" s="6"/>
      <c r="K74" s="9">
        <v>3000000</v>
      </c>
      <c r="L74" s="6"/>
      <c r="M74" s="6"/>
      <c r="N74" t="s">
        <v>601</v>
      </c>
      <c r="O74" t="s">
        <v>601</v>
      </c>
      <c r="P74" t="s">
        <v>601</v>
      </c>
      <c r="Q74" t="s">
        <v>601</v>
      </c>
      <c r="R74" t="s">
        <v>601</v>
      </c>
      <c r="S74" t="s">
        <v>601</v>
      </c>
    </row>
    <row r="75" spans="1:19" ht="14.25" x14ac:dyDescent="0.15">
      <c r="A75" s="4" t="s">
        <v>415</v>
      </c>
      <c r="B75" s="7" t="s">
        <v>86</v>
      </c>
      <c r="C75" s="7" t="s">
        <v>416</v>
      </c>
      <c r="D75" s="5">
        <v>6</v>
      </c>
      <c r="E75" s="5" t="str">
        <f t="shared" si="3"/>
        <v>3AA3</v>
      </c>
      <c r="F75" s="6" t="s">
        <v>62</v>
      </c>
      <c r="G75" s="6"/>
      <c r="H75" s="6"/>
      <c r="I75" s="8" t="s">
        <v>417</v>
      </c>
      <c r="J75" s="6"/>
      <c r="K75" s="9">
        <v>35000000</v>
      </c>
      <c r="L75" s="6"/>
      <c r="M75" s="6"/>
      <c r="N75" t="s">
        <v>602</v>
      </c>
      <c r="O75" t="s">
        <v>602</v>
      </c>
      <c r="P75" t="s">
        <v>601</v>
      </c>
      <c r="Q75" t="s">
        <v>601</v>
      </c>
      <c r="R75" t="s">
        <v>601</v>
      </c>
      <c r="S75" t="s">
        <v>601</v>
      </c>
    </row>
    <row r="76" spans="1:19" ht="14.25" x14ac:dyDescent="0.15">
      <c r="A76" s="4" t="s">
        <v>418</v>
      </c>
      <c r="B76" s="7" t="s">
        <v>419</v>
      </c>
      <c r="C76" s="7" t="s">
        <v>420</v>
      </c>
      <c r="D76" s="5">
        <v>1</v>
      </c>
      <c r="E76" s="5" t="s">
        <v>370</v>
      </c>
      <c r="F76" s="6" t="s">
        <v>421</v>
      </c>
      <c r="G76" s="6">
        <v>64</v>
      </c>
      <c r="H76" s="6"/>
      <c r="I76" s="8">
        <v>21000000</v>
      </c>
      <c r="J76" s="6"/>
      <c r="K76" s="6"/>
      <c r="L76" s="9">
        <v>30000000</v>
      </c>
      <c r="M76" s="6"/>
      <c r="N76" t="s">
        <v>601</v>
      </c>
      <c r="O76" t="s">
        <v>601</v>
      </c>
      <c r="P76" t="s">
        <v>601</v>
      </c>
      <c r="Q76" t="s">
        <v>601</v>
      </c>
      <c r="R76" t="s">
        <v>601</v>
      </c>
      <c r="S76" t="s">
        <v>601</v>
      </c>
    </row>
    <row r="77" spans="1:19" ht="14.25" x14ac:dyDescent="0.15">
      <c r="A77" s="4" t="s">
        <v>422</v>
      </c>
      <c r="B77" s="7" t="s">
        <v>423</v>
      </c>
      <c r="C77" s="7" t="s">
        <v>203</v>
      </c>
      <c r="D77" s="5">
        <v>7</v>
      </c>
      <c r="E77" s="5"/>
      <c r="F77" s="6"/>
      <c r="G77" s="6"/>
      <c r="H77" s="6"/>
      <c r="I77" s="8" t="s">
        <v>402</v>
      </c>
      <c r="J77" s="6"/>
      <c r="K77" s="9">
        <v>2000000</v>
      </c>
      <c r="L77" s="6"/>
      <c r="M77" s="6"/>
      <c r="N77" t="s">
        <v>602</v>
      </c>
      <c r="O77" t="s">
        <v>602</v>
      </c>
      <c r="P77" t="s">
        <v>601</v>
      </c>
      <c r="Q77" t="s">
        <v>601</v>
      </c>
      <c r="R77" t="s">
        <v>602</v>
      </c>
      <c r="S77" t="s">
        <v>601</v>
      </c>
    </row>
    <row r="78" spans="1:19" ht="14.25" x14ac:dyDescent="0.15">
      <c r="A78" s="4" t="s">
        <v>424</v>
      </c>
      <c r="B78" s="7" t="s">
        <v>425</v>
      </c>
      <c r="C78" s="7" t="s">
        <v>354</v>
      </c>
      <c r="D78" s="5"/>
      <c r="E78" s="5" t="s">
        <v>426</v>
      </c>
      <c r="F78" s="6" t="s">
        <v>427</v>
      </c>
      <c r="G78" s="6"/>
      <c r="H78" s="6"/>
      <c r="I78" s="8">
        <f>J78*6.15</f>
        <v>3075000</v>
      </c>
      <c r="J78" s="9">
        <v>500000</v>
      </c>
      <c r="K78" s="6"/>
      <c r="L78" s="6"/>
      <c r="M78" s="6"/>
      <c r="N78" t="s">
        <v>602</v>
      </c>
      <c r="O78" t="s">
        <v>602</v>
      </c>
      <c r="P78" t="s">
        <v>601</v>
      </c>
      <c r="Q78" t="s">
        <v>601</v>
      </c>
      <c r="R78" t="s">
        <v>601</v>
      </c>
      <c r="S78" t="s">
        <v>601</v>
      </c>
    </row>
    <row r="79" spans="1:19" ht="14.25" x14ac:dyDescent="0.15">
      <c r="A79" s="4" t="s">
        <v>428</v>
      </c>
      <c r="B79" s="7" t="s">
        <v>429</v>
      </c>
      <c r="C79" s="7" t="s">
        <v>203</v>
      </c>
      <c r="D79" s="5">
        <v>7</v>
      </c>
      <c r="E79" s="5" t="s">
        <v>430</v>
      </c>
      <c r="F79" s="6" t="s">
        <v>431</v>
      </c>
      <c r="G79" s="6"/>
      <c r="H79" s="6"/>
      <c r="I79" s="8" t="s">
        <v>432</v>
      </c>
      <c r="J79" s="6"/>
      <c r="K79" s="9">
        <v>400000000</v>
      </c>
      <c r="L79" s="6"/>
      <c r="M79" s="6"/>
      <c r="N79" t="s">
        <v>601</v>
      </c>
      <c r="O79" t="s">
        <v>601</v>
      </c>
      <c r="P79" t="s">
        <v>601</v>
      </c>
      <c r="Q79" t="s">
        <v>601</v>
      </c>
      <c r="R79" t="s">
        <v>601</v>
      </c>
      <c r="S79" t="s">
        <v>601</v>
      </c>
    </row>
    <row r="80" spans="1:19" ht="14.25" x14ac:dyDescent="0.15">
      <c r="A80" s="4" t="s">
        <v>433</v>
      </c>
      <c r="B80" s="7" t="s">
        <v>434</v>
      </c>
      <c r="C80" s="7" t="s">
        <v>203</v>
      </c>
      <c r="D80" s="5">
        <v>4</v>
      </c>
      <c r="E80" s="5" t="s">
        <v>435</v>
      </c>
      <c r="F80" s="6" t="s">
        <v>436</v>
      </c>
      <c r="G80" s="6">
        <v>67</v>
      </c>
      <c r="H80" s="6"/>
      <c r="I80" s="8">
        <f>J80*6.15</f>
        <v>6150000</v>
      </c>
      <c r="J80" s="9">
        <v>1000000</v>
      </c>
      <c r="K80" s="6"/>
      <c r="L80" s="6"/>
      <c r="M80" s="6"/>
      <c r="N80" t="s">
        <v>601</v>
      </c>
      <c r="O80" t="s">
        <v>601</v>
      </c>
      <c r="P80" t="s">
        <v>601</v>
      </c>
      <c r="Q80" t="s">
        <v>601</v>
      </c>
      <c r="R80" t="s">
        <v>601</v>
      </c>
      <c r="S80" t="s">
        <v>601</v>
      </c>
    </row>
    <row r="81" spans="1:19" ht="14.25" x14ac:dyDescent="0.15">
      <c r="A81" s="4" t="s">
        <v>437</v>
      </c>
      <c r="B81" s="7" t="s">
        <v>438</v>
      </c>
      <c r="C81" s="7" t="s">
        <v>203</v>
      </c>
      <c r="D81" s="5">
        <v>6</v>
      </c>
      <c r="E81" s="5" t="s">
        <v>317</v>
      </c>
      <c r="F81" s="6" t="s">
        <v>187</v>
      </c>
      <c r="G81" s="6">
        <v>59</v>
      </c>
      <c r="H81" s="6"/>
      <c r="I81" s="8">
        <f>J81*6.15</f>
        <v>8610000</v>
      </c>
      <c r="J81" s="9">
        <v>1400000</v>
      </c>
      <c r="K81" s="6"/>
      <c r="L81" s="6"/>
      <c r="M81" s="6"/>
      <c r="N81" t="s">
        <v>602</v>
      </c>
      <c r="O81" t="s">
        <v>602</v>
      </c>
      <c r="P81" t="s">
        <v>602</v>
      </c>
      <c r="Q81" t="s">
        <v>601</v>
      </c>
      <c r="R81" t="s">
        <v>601</v>
      </c>
      <c r="S81" t="s">
        <v>601</v>
      </c>
    </row>
    <row r="82" spans="1:19" ht="14.25" x14ac:dyDescent="0.15">
      <c r="A82" s="4" t="s">
        <v>439</v>
      </c>
      <c r="B82" s="7" t="s">
        <v>440</v>
      </c>
      <c r="C82" s="7" t="s">
        <v>203</v>
      </c>
      <c r="D82" s="5">
        <v>6</v>
      </c>
      <c r="E82" s="5" t="s">
        <v>441</v>
      </c>
      <c r="F82" s="6" t="s">
        <v>442</v>
      </c>
      <c r="G82" s="6"/>
      <c r="H82" s="6"/>
      <c r="I82" s="8" t="s">
        <v>179</v>
      </c>
      <c r="J82" s="6"/>
      <c r="K82" s="9">
        <v>1000000</v>
      </c>
      <c r="L82" s="6"/>
      <c r="M82" s="6"/>
      <c r="N82" t="s">
        <v>601</v>
      </c>
      <c r="O82" t="s">
        <v>601</v>
      </c>
      <c r="P82" t="s">
        <v>601</v>
      </c>
      <c r="Q82" t="s">
        <v>601</v>
      </c>
      <c r="R82" t="s">
        <v>601</v>
      </c>
      <c r="S82" t="s">
        <v>601</v>
      </c>
    </row>
    <row r="83" spans="1:19" ht="14.25" x14ac:dyDescent="0.15">
      <c r="A83" s="4" t="s">
        <v>443</v>
      </c>
      <c r="B83" s="7" t="s">
        <v>444</v>
      </c>
      <c r="C83" s="7" t="s">
        <v>203</v>
      </c>
      <c r="D83" s="5">
        <v>5</v>
      </c>
      <c r="E83" s="5" t="str">
        <f>F83</f>
        <v>3AA-</v>
      </c>
      <c r="F83" s="6" t="s">
        <v>172</v>
      </c>
      <c r="G83" s="6">
        <v>81</v>
      </c>
      <c r="H83" s="6"/>
      <c r="I83" s="8">
        <f>J83*6.15</f>
        <v>16482000.000000002</v>
      </c>
      <c r="J83" s="9">
        <v>2680000</v>
      </c>
      <c r="K83" s="6"/>
      <c r="L83" s="6"/>
      <c r="M83" s="6"/>
      <c r="N83" t="s">
        <v>602</v>
      </c>
      <c r="O83" t="s">
        <v>602</v>
      </c>
      <c r="P83" t="s">
        <v>602</v>
      </c>
      <c r="Q83" t="s">
        <v>601</v>
      </c>
      <c r="R83" t="s">
        <v>601</v>
      </c>
      <c r="S83" t="s">
        <v>601</v>
      </c>
    </row>
    <row r="84" spans="1:19" ht="14.25" x14ac:dyDescent="0.15">
      <c r="A84" s="4" t="s">
        <v>445</v>
      </c>
      <c r="B84" s="7" t="s">
        <v>446</v>
      </c>
      <c r="C84" s="7" t="s">
        <v>222</v>
      </c>
      <c r="D84" s="5">
        <v>6</v>
      </c>
      <c r="E84" s="5" t="str">
        <f t="shared" ref="E84:E90" si="4">F84</f>
        <v>3AA3</v>
      </c>
      <c r="F84" s="6" t="s">
        <v>62</v>
      </c>
      <c r="G84" s="6"/>
      <c r="H84" s="6"/>
      <c r="I84" s="8" t="s">
        <v>173</v>
      </c>
      <c r="J84" s="6"/>
      <c r="K84" s="9">
        <v>10000000</v>
      </c>
      <c r="L84" s="6"/>
      <c r="M84" s="6"/>
      <c r="N84" t="s">
        <v>602</v>
      </c>
      <c r="O84" t="s">
        <v>602</v>
      </c>
      <c r="P84" t="s">
        <v>601</v>
      </c>
      <c r="Q84" t="s">
        <v>602</v>
      </c>
      <c r="R84" t="s">
        <v>601</v>
      </c>
      <c r="S84" t="s">
        <v>601</v>
      </c>
    </row>
    <row r="85" spans="1:19" ht="14.25" x14ac:dyDescent="0.15">
      <c r="A85" s="4" t="s">
        <v>447</v>
      </c>
      <c r="B85" s="7" t="s">
        <v>448</v>
      </c>
      <c r="C85" s="7" t="s">
        <v>449</v>
      </c>
      <c r="D85" s="5">
        <v>6</v>
      </c>
      <c r="E85" s="5" t="str">
        <f t="shared" si="4"/>
        <v>5AA-</v>
      </c>
      <c r="F85" s="6" t="s">
        <v>450</v>
      </c>
      <c r="G85" s="6">
        <v>69</v>
      </c>
      <c r="H85" s="6"/>
      <c r="I85" s="8">
        <f>J85*6.15</f>
        <v>813030000</v>
      </c>
      <c r="J85" s="9">
        <v>132200000</v>
      </c>
      <c r="K85" s="6"/>
      <c r="L85" s="6"/>
      <c r="M85" s="6"/>
      <c r="N85" t="s">
        <v>601</v>
      </c>
      <c r="O85" t="s">
        <v>601</v>
      </c>
      <c r="P85" t="s">
        <v>601</v>
      </c>
      <c r="Q85" t="s">
        <v>601</v>
      </c>
      <c r="R85" t="s">
        <v>601</v>
      </c>
      <c r="S85" t="s">
        <v>601</v>
      </c>
    </row>
    <row r="86" spans="1:19" ht="14.25" x14ac:dyDescent="0.15">
      <c r="A86" s="4" t="s">
        <v>451</v>
      </c>
      <c r="B86" s="7" t="s">
        <v>452</v>
      </c>
      <c r="C86" s="7" t="s">
        <v>453</v>
      </c>
      <c r="D86" s="5">
        <v>4</v>
      </c>
      <c r="E86" s="5" t="str">
        <f t="shared" si="4"/>
        <v>4AA2</v>
      </c>
      <c r="F86" s="6" t="s">
        <v>121</v>
      </c>
      <c r="G86" s="6"/>
      <c r="H86" s="6">
        <v>3</v>
      </c>
      <c r="I86" s="8">
        <f>J86*6.15</f>
        <v>301350000</v>
      </c>
      <c r="J86" s="9">
        <v>49000000</v>
      </c>
      <c r="K86" s="6"/>
      <c r="L86" s="6"/>
      <c r="M86" s="6"/>
      <c r="N86" t="s">
        <v>601</v>
      </c>
      <c r="O86" t="s">
        <v>601</v>
      </c>
      <c r="P86" t="s">
        <v>601</v>
      </c>
      <c r="Q86" t="s">
        <v>601</v>
      </c>
      <c r="R86" t="s">
        <v>601</v>
      </c>
      <c r="S86" t="s">
        <v>601</v>
      </c>
    </row>
    <row r="87" spans="1:19" ht="14.25" x14ac:dyDescent="0.15">
      <c r="A87" s="4" t="s">
        <v>454</v>
      </c>
      <c r="B87" s="7" t="s">
        <v>455</v>
      </c>
      <c r="C87" s="7" t="s">
        <v>456</v>
      </c>
      <c r="D87" s="5">
        <v>6</v>
      </c>
      <c r="E87" s="5" t="str">
        <f t="shared" si="4"/>
        <v>1AA3</v>
      </c>
      <c r="F87" s="6" t="s">
        <v>41</v>
      </c>
      <c r="G87" s="6"/>
      <c r="H87" s="6">
        <v>3</v>
      </c>
      <c r="I87" s="8" t="s">
        <v>204</v>
      </c>
      <c r="J87" s="6"/>
      <c r="K87" s="9">
        <v>5000000</v>
      </c>
      <c r="L87" s="6"/>
      <c r="M87" s="6"/>
      <c r="N87" t="s">
        <v>602</v>
      </c>
      <c r="O87" t="s">
        <v>602</v>
      </c>
      <c r="P87" t="s">
        <v>601</v>
      </c>
      <c r="Q87" t="s">
        <v>601</v>
      </c>
      <c r="R87" t="s">
        <v>601</v>
      </c>
      <c r="S87" t="s">
        <v>601</v>
      </c>
    </row>
    <row r="88" spans="1:19" ht="14.25" x14ac:dyDescent="0.15">
      <c r="A88" s="4" t="s">
        <v>457</v>
      </c>
      <c r="B88" s="7" t="s">
        <v>458</v>
      </c>
      <c r="C88" s="7" t="s">
        <v>456</v>
      </c>
      <c r="D88" s="5">
        <v>5</v>
      </c>
      <c r="E88" s="5" t="str">
        <f t="shared" si="4"/>
        <v>3AA2</v>
      </c>
      <c r="F88" s="6" t="s">
        <v>9</v>
      </c>
      <c r="G88" s="6">
        <v>79</v>
      </c>
      <c r="H88" s="6"/>
      <c r="I88" s="8">
        <f>J88*6.15</f>
        <v>64575000.000000007</v>
      </c>
      <c r="J88" s="9">
        <v>10500000</v>
      </c>
      <c r="K88" s="6"/>
      <c r="L88" s="6"/>
      <c r="M88" s="6"/>
      <c r="N88" t="s">
        <v>601</v>
      </c>
      <c r="O88" t="s">
        <v>601</v>
      </c>
      <c r="P88" t="s">
        <v>601</v>
      </c>
      <c r="Q88" t="s">
        <v>601</v>
      </c>
      <c r="R88" t="s">
        <v>601</v>
      </c>
      <c r="S88" t="s">
        <v>601</v>
      </c>
    </row>
    <row r="89" spans="1:19" ht="14.25" x14ac:dyDescent="0.15">
      <c r="A89" s="4" t="s">
        <v>459</v>
      </c>
      <c r="B89" s="7" t="s">
        <v>460</v>
      </c>
      <c r="C89" s="7" t="s">
        <v>456</v>
      </c>
      <c r="D89" s="5">
        <v>6</v>
      </c>
      <c r="E89" s="5" t="str">
        <f t="shared" si="4"/>
        <v>BB3</v>
      </c>
      <c r="F89" s="6" t="s">
        <v>461</v>
      </c>
      <c r="G89" s="6"/>
      <c r="H89" s="6"/>
      <c r="I89" s="8" t="s">
        <v>402</v>
      </c>
      <c r="J89" s="6"/>
      <c r="K89" s="9">
        <v>2000000</v>
      </c>
      <c r="L89" s="6"/>
      <c r="M89" s="6"/>
      <c r="N89" t="s">
        <v>602</v>
      </c>
      <c r="O89" t="s">
        <v>602</v>
      </c>
      <c r="P89" t="s">
        <v>602</v>
      </c>
      <c r="Q89" t="s">
        <v>601</v>
      </c>
      <c r="R89" t="s">
        <v>601</v>
      </c>
      <c r="S89" t="s">
        <v>601</v>
      </c>
    </row>
    <row r="90" spans="1:19" ht="14.25" x14ac:dyDescent="0.15">
      <c r="A90" s="4" t="s">
        <v>462</v>
      </c>
      <c r="B90" s="7" t="s">
        <v>463</v>
      </c>
      <c r="C90" s="7" t="s">
        <v>464</v>
      </c>
      <c r="D90" s="5">
        <v>6</v>
      </c>
      <c r="E90" s="5" t="str">
        <f t="shared" si="4"/>
        <v>3AA-</v>
      </c>
      <c r="F90" s="6" t="s">
        <v>172</v>
      </c>
      <c r="G90" s="6"/>
      <c r="H90" s="6"/>
      <c r="I90" s="8" t="s">
        <v>465</v>
      </c>
      <c r="J90" s="6"/>
      <c r="K90" s="9">
        <v>60000000</v>
      </c>
      <c r="L90" s="6"/>
      <c r="M90" s="6"/>
      <c r="N90" t="s">
        <v>601</v>
      </c>
      <c r="O90" t="s">
        <v>601</v>
      </c>
      <c r="P90" t="s">
        <v>601</v>
      </c>
      <c r="Q90" t="s">
        <v>601</v>
      </c>
      <c r="R90" t="s">
        <v>601</v>
      </c>
      <c r="S90" t="s">
        <v>601</v>
      </c>
    </row>
    <row r="91" spans="1:19" ht="14.25" x14ac:dyDescent="0.15">
      <c r="A91" s="4" t="s">
        <v>466</v>
      </c>
      <c r="B91" s="7" t="s">
        <v>467</v>
      </c>
      <c r="C91" s="7" t="s">
        <v>468</v>
      </c>
      <c r="D91" s="5">
        <v>8</v>
      </c>
      <c r="E91" s="5" t="s">
        <v>469</v>
      </c>
      <c r="F91" s="6" t="s">
        <v>470</v>
      </c>
      <c r="G91" s="6">
        <v>63</v>
      </c>
      <c r="H91" s="6"/>
      <c r="I91" s="8">
        <f>J91*6.15</f>
        <v>61500000</v>
      </c>
      <c r="J91" s="9">
        <v>10000000</v>
      </c>
      <c r="K91" s="6"/>
      <c r="L91" s="6"/>
      <c r="M91" s="6"/>
      <c r="N91" t="s">
        <v>601</v>
      </c>
      <c r="O91" t="s">
        <v>601</v>
      </c>
      <c r="P91" t="s">
        <v>601</v>
      </c>
      <c r="Q91" t="s">
        <v>601</v>
      </c>
      <c r="R91" t="s">
        <v>601</v>
      </c>
      <c r="S91" t="s">
        <v>601</v>
      </c>
    </row>
    <row r="92" spans="1:19" ht="14.25" x14ac:dyDescent="0.15">
      <c r="A92" s="4" t="s">
        <v>471</v>
      </c>
      <c r="B92" s="7" t="s">
        <v>472</v>
      </c>
      <c r="C92" s="7" t="s">
        <v>473</v>
      </c>
      <c r="D92" s="5">
        <v>5</v>
      </c>
      <c r="E92" s="5" t="str">
        <f>F92</f>
        <v>4AA-</v>
      </c>
      <c r="F92" s="6" t="s">
        <v>474</v>
      </c>
      <c r="G92" s="6"/>
      <c r="H92" s="6"/>
      <c r="I92" s="8" t="s">
        <v>475</v>
      </c>
      <c r="J92" s="6"/>
      <c r="K92" s="9">
        <v>146933000</v>
      </c>
      <c r="L92" s="6"/>
      <c r="M92" s="6"/>
      <c r="N92" t="s">
        <v>601</v>
      </c>
      <c r="O92" t="s">
        <v>601</v>
      </c>
      <c r="P92" t="s">
        <v>601</v>
      </c>
      <c r="Q92" t="s">
        <v>601</v>
      </c>
      <c r="R92" t="s">
        <v>601</v>
      </c>
      <c r="S92" t="s">
        <v>601</v>
      </c>
    </row>
    <row r="93" spans="1:19" ht="14.25" x14ac:dyDescent="0.15">
      <c r="A93" s="4" t="s">
        <v>476</v>
      </c>
      <c r="B93" s="7" t="s">
        <v>477</v>
      </c>
      <c r="C93" s="7" t="s">
        <v>478</v>
      </c>
      <c r="D93" s="5"/>
      <c r="E93" s="5" t="str">
        <f t="shared" ref="E93:E96" si="5">F93</f>
        <v>3AA-</v>
      </c>
      <c r="F93" s="6" t="s">
        <v>172</v>
      </c>
      <c r="G93" s="6"/>
      <c r="H93" s="6">
        <v>3</v>
      </c>
      <c r="I93" s="8" t="s">
        <v>479</v>
      </c>
      <c r="J93" s="6"/>
      <c r="K93" s="9">
        <v>64000000</v>
      </c>
      <c r="L93" s="6"/>
      <c r="M93" s="6"/>
      <c r="N93" t="s">
        <v>601</v>
      </c>
      <c r="O93" t="s">
        <v>601</v>
      </c>
      <c r="P93" t="s">
        <v>601</v>
      </c>
      <c r="Q93" t="s">
        <v>601</v>
      </c>
      <c r="R93" t="s">
        <v>601</v>
      </c>
      <c r="S93" t="s">
        <v>601</v>
      </c>
    </row>
    <row r="94" spans="1:19" ht="14.25" x14ac:dyDescent="0.15">
      <c r="A94" s="4" t="s">
        <v>480</v>
      </c>
      <c r="B94" s="7" t="s">
        <v>481</v>
      </c>
      <c r="C94" s="7" t="s">
        <v>482</v>
      </c>
      <c r="D94" s="5">
        <v>7</v>
      </c>
      <c r="E94" s="5" t="str">
        <f t="shared" si="5"/>
        <v>4AA3</v>
      </c>
      <c r="F94" s="6" t="s">
        <v>44</v>
      </c>
      <c r="G94" s="6">
        <v>28</v>
      </c>
      <c r="H94" s="6">
        <v>1</v>
      </c>
      <c r="I94" s="8">
        <f>J94*6.15</f>
        <v>273675000</v>
      </c>
      <c r="J94" s="9">
        <v>44500000</v>
      </c>
      <c r="K94" s="6"/>
      <c r="L94" s="6"/>
      <c r="M94" s="6"/>
      <c r="N94" t="s">
        <v>601</v>
      </c>
      <c r="O94" t="s">
        <v>601</v>
      </c>
      <c r="P94" t="s">
        <v>601</v>
      </c>
      <c r="Q94" t="s">
        <v>601</v>
      </c>
      <c r="R94" t="s">
        <v>601</v>
      </c>
      <c r="S94" t="s">
        <v>601</v>
      </c>
    </row>
    <row r="95" spans="1:19" ht="14.25" x14ac:dyDescent="0.15">
      <c r="A95" s="4" t="s">
        <v>483</v>
      </c>
      <c r="B95" s="7" t="s">
        <v>484</v>
      </c>
      <c r="C95" s="7" t="s">
        <v>485</v>
      </c>
      <c r="D95" s="5">
        <v>9</v>
      </c>
      <c r="E95" s="5" t="str">
        <f t="shared" si="5"/>
        <v>AA3</v>
      </c>
      <c r="F95" s="6" t="s">
        <v>76</v>
      </c>
      <c r="G95" s="6"/>
      <c r="H95" s="6"/>
      <c r="I95" s="8" t="s">
        <v>288</v>
      </c>
      <c r="J95" s="6"/>
      <c r="K95" s="9">
        <v>3000000</v>
      </c>
      <c r="L95" s="6"/>
      <c r="M95" s="6"/>
      <c r="N95" t="s">
        <v>602</v>
      </c>
      <c r="O95" t="s">
        <v>602</v>
      </c>
      <c r="P95" t="s">
        <v>602</v>
      </c>
      <c r="Q95" t="s">
        <v>601</v>
      </c>
      <c r="R95" t="s">
        <v>601</v>
      </c>
      <c r="S95" t="s">
        <v>601</v>
      </c>
    </row>
    <row r="96" spans="1:19" ht="14.25" x14ac:dyDescent="0.15">
      <c r="A96" s="4" t="s">
        <v>486</v>
      </c>
      <c r="B96" s="7" t="s">
        <v>487</v>
      </c>
      <c r="C96" s="7" t="s">
        <v>488</v>
      </c>
      <c r="D96" s="5">
        <v>1</v>
      </c>
      <c r="E96" s="5" t="str">
        <f t="shared" si="5"/>
        <v>3A2</v>
      </c>
      <c r="F96" s="6" t="s">
        <v>233</v>
      </c>
      <c r="G96" s="6">
        <v>76</v>
      </c>
      <c r="H96" s="6"/>
      <c r="I96" s="8" t="s">
        <v>407</v>
      </c>
      <c r="J96" s="6"/>
      <c r="K96" s="9">
        <v>6000000</v>
      </c>
      <c r="L96" s="6"/>
      <c r="M96" s="6"/>
      <c r="N96" t="s">
        <v>601</v>
      </c>
      <c r="O96" t="s">
        <v>601</v>
      </c>
      <c r="P96" t="s">
        <v>601</v>
      </c>
      <c r="Q96" t="s">
        <v>601</v>
      </c>
      <c r="R96" t="s">
        <v>601</v>
      </c>
      <c r="S96" t="s">
        <v>601</v>
      </c>
    </row>
    <row r="97" spans="1:19" ht="14.25" x14ac:dyDescent="0.15">
      <c r="A97" s="4" t="s">
        <v>489</v>
      </c>
      <c r="B97" s="7" t="s">
        <v>490</v>
      </c>
      <c r="C97" s="7" t="s">
        <v>491</v>
      </c>
      <c r="D97" s="5">
        <v>7</v>
      </c>
      <c r="E97" s="5" t="s">
        <v>492</v>
      </c>
      <c r="F97" s="6" t="s">
        <v>493</v>
      </c>
      <c r="G97" s="6">
        <v>75</v>
      </c>
      <c r="H97" s="6"/>
      <c r="I97" s="8">
        <f>J97*6.15</f>
        <v>61500000</v>
      </c>
      <c r="J97" s="9">
        <v>10000000</v>
      </c>
      <c r="K97" s="6"/>
      <c r="L97" s="6"/>
      <c r="M97" s="6"/>
      <c r="N97" t="s">
        <v>601</v>
      </c>
      <c r="O97" t="s">
        <v>601</v>
      </c>
      <c r="P97" t="s">
        <v>601</v>
      </c>
      <c r="Q97" t="s">
        <v>601</v>
      </c>
      <c r="R97" t="s">
        <v>601</v>
      </c>
      <c r="S97" t="s">
        <v>601</v>
      </c>
    </row>
    <row r="98" spans="1:19" ht="14.25" x14ac:dyDescent="0.15">
      <c r="A98" s="4" t="s">
        <v>494</v>
      </c>
      <c r="B98" s="7" t="s">
        <v>495</v>
      </c>
      <c r="C98" s="7" t="s">
        <v>496</v>
      </c>
      <c r="D98" s="5">
        <v>6</v>
      </c>
      <c r="E98" s="5" t="s">
        <v>497</v>
      </c>
      <c r="F98" s="6" t="s">
        <v>62</v>
      </c>
      <c r="G98" s="6">
        <v>61</v>
      </c>
      <c r="H98" s="6"/>
      <c r="I98" s="8">
        <f>J98*6.15</f>
        <v>12300000</v>
      </c>
      <c r="J98" s="9">
        <v>2000000</v>
      </c>
      <c r="K98" s="6"/>
      <c r="L98" s="6"/>
      <c r="M98" s="6"/>
      <c r="N98" t="s">
        <v>601</v>
      </c>
      <c r="O98" t="s">
        <v>601</v>
      </c>
      <c r="P98" t="s">
        <v>601</v>
      </c>
      <c r="Q98" t="s">
        <v>601</v>
      </c>
      <c r="R98" t="s">
        <v>601</v>
      </c>
      <c r="S98" t="s">
        <v>601</v>
      </c>
    </row>
    <row r="99" spans="1:19" ht="14.25" x14ac:dyDescent="0.15">
      <c r="A99" s="4" t="s">
        <v>498</v>
      </c>
      <c r="B99" s="7" t="s">
        <v>499</v>
      </c>
      <c r="C99" s="7" t="s">
        <v>488</v>
      </c>
      <c r="D99" s="5">
        <v>6</v>
      </c>
      <c r="E99" s="5" t="s">
        <v>500</v>
      </c>
      <c r="F99" s="6" t="s">
        <v>501</v>
      </c>
      <c r="G99" s="6"/>
      <c r="H99" s="6">
        <v>4</v>
      </c>
      <c r="I99" s="8" t="s">
        <v>502</v>
      </c>
      <c r="J99" s="6"/>
      <c r="K99" s="9">
        <v>7900694</v>
      </c>
      <c r="L99" s="6"/>
      <c r="M99" s="6"/>
      <c r="N99" t="s">
        <v>602</v>
      </c>
      <c r="O99" t="s">
        <v>602</v>
      </c>
      <c r="P99" t="s">
        <v>602</v>
      </c>
      <c r="Q99" t="s">
        <v>601</v>
      </c>
      <c r="R99" t="s">
        <v>602</v>
      </c>
      <c r="S99" t="s">
        <v>601</v>
      </c>
    </row>
    <row r="100" spans="1:19" ht="14.25" x14ac:dyDescent="0.15">
      <c r="A100" s="4" t="s">
        <v>503</v>
      </c>
      <c r="B100" s="7" t="s">
        <v>504</v>
      </c>
      <c r="C100" s="7" t="s">
        <v>488</v>
      </c>
      <c r="D100" s="5">
        <v>5</v>
      </c>
      <c r="E100" s="5" t="s">
        <v>505</v>
      </c>
      <c r="F100" s="6" t="s">
        <v>506</v>
      </c>
      <c r="G100" s="6"/>
      <c r="H100" s="6"/>
      <c r="I100" s="8" t="s">
        <v>204</v>
      </c>
      <c r="J100" s="6"/>
      <c r="K100" s="9">
        <v>5000000</v>
      </c>
      <c r="L100" s="6"/>
      <c r="M100" s="6"/>
      <c r="N100" t="s">
        <v>602</v>
      </c>
      <c r="O100" t="s">
        <v>602</v>
      </c>
      <c r="P100" t="s">
        <v>602</v>
      </c>
      <c r="Q100" t="s">
        <v>601</v>
      </c>
      <c r="R100" t="s">
        <v>601</v>
      </c>
      <c r="S100" t="s">
        <v>601</v>
      </c>
    </row>
    <row r="101" spans="1:19" ht="14.25" x14ac:dyDescent="0.15">
      <c r="A101" s="4" t="s">
        <v>507</v>
      </c>
      <c r="B101" s="7" t="s">
        <v>508</v>
      </c>
      <c r="C101" s="7" t="s">
        <v>509</v>
      </c>
      <c r="D101" s="5">
        <v>6</v>
      </c>
      <c r="E101" s="5" t="s">
        <v>510</v>
      </c>
      <c r="F101" s="6" t="s">
        <v>187</v>
      </c>
      <c r="G101" s="6"/>
      <c r="H101" s="6"/>
      <c r="I101" s="8" t="s">
        <v>204</v>
      </c>
      <c r="J101" s="6"/>
      <c r="K101" s="9">
        <v>5000000</v>
      </c>
      <c r="L101" s="6"/>
      <c r="M101" s="6"/>
      <c r="N101" t="s">
        <v>601</v>
      </c>
      <c r="O101" t="s">
        <v>601</v>
      </c>
      <c r="P101" t="s">
        <v>601</v>
      </c>
      <c r="Q101" t="s">
        <v>601</v>
      </c>
      <c r="R101" t="s">
        <v>601</v>
      </c>
      <c r="S101" t="s">
        <v>601</v>
      </c>
    </row>
    <row r="102" spans="1:19" ht="14.25" x14ac:dyDescent="0.15">
      <c r="A102" s="4" t="s">
        <v>511</v>
      </c>
      <c r="B102" s="7" t="s">
        <v>512</v>
      </c>
      <c r="C102" s="7"/>
      <c r="D102" s="5">
        <v>4</v>
      </c>
      <c r="E102" s="5" t="s">
        <v>513</v>
      </c>
      <c r="F102" s="6" t="s">
        <v>9</v>
      </c>
      <c r="G102" s="6"/>
      <c r="H102" s="6"/>
      <c r="I102" s="8" t="s">
        <v>514</v>
      </c>
      <c r="J102" s="6"/>
      <c r="K102" s="9">
        <v>15200000</v>
      </c>
      <c r="L102" s="6"/>
      <c r="M102" s="6"/>
      <c r="N102" t="s">
        <v>601</v>
      </c>
      <c r="O102" t="s">
        <v>601</v>
      </c>
      <c r="P102" t="s">
        <v>601</v>
      </c>
      <c r="Q102" t="s">
        <v>601</v>
      </c>
      <c r="R102" t="s">
        <v>601</v>
      </c>
      <c r="S102" t="s">
        <v>601</v>
      </c>
    </row>
    <row r="103" spans="1:19" ht="14.25" x14ac:dyDescent="0.15">
      <c r="A103" s="4" t="s">
        <v>515</v>
      </c>
      <c r="B103" s="7" t="s">
        <v>516</v>
      </c>
      <c r="C103" s="7"/>
      <c r="D103" s="5">
        <v>4</v>
      </c>
      <c r="E103" s="5" t="s">
        <v>517</v>
      </c>
      <c r="F103" s="6" t="s">
        <v>229</v>
      </c>
      <c r="G103" s="6"/>
      <c r="H103" s="6"/>
      <c r="I103" s="8" t="s">
        <v>518</v>
      </c>
      <c r="J103" s="6"/>
      <c r="K103" s="9">
        <v>5049358000</v>
      </c>
      <c r="L103" s="6"/>
      <c r="M103" s="6"/>
      <c r="N103" t="s">
        <v>601</v>
      </c>
      <c r="O103" t="s">
        <v>601</v>
      </c>
      <c r="P103" t="s">
        <v>601</v>
      </c>
      <c r="Q103" t="s">
        <v>601</v>
      </c>
      <c r="R103" t="s">
        <v>601</v>
      </c>
      <c r="S103" t="s">
        <v>601</v>
      </c>
    </row>
    <row r="104" spans="1:19" ht="14.25" x14ac:dyDescent="0.15">
      <c r="A104" s="4" t="s">
        <v>519</v>
      </c>
      <c r="B104" s="7" t="s">
        <v>520</v>
      </c>
      <c r="C104" s="7" t="s">
        <v>521</v>
      </c>
      <c r="D104" s="5"/>
      <c r="E104" s="5" t="s">
        <v>522</v>
      </c>
      <c r="F104" s="6" t="s">
        <v>523</v>
      </c>
      <c r="G104" s="6"/>
      <c r="H104" s="6"/>
      <c r="I104" s="8" t="s">
        <v>173</v>
      </c>
      <c r="J104" s="6"/>
      <c r="K104" s="9">
        <v>10000000</v>
      </c>
      <c r="L104" s="6"/>
      <c r="M104" s="6"/>
      <c r="N104" t="s">
        <v>601</v>
      </c>
      <c r="O104" t="s">
        <v>601</v>
      </c>
      <c r="P104" t="s">
        <v>601</v>
      </c>
      <c r="Q104" t="s">
        <v>601</v>
      </c>
      <c r="R104" t="s">
        <v>601</v>
      </c>
      <c r="S104" t="s">
        <v>601</v>
      </c>
    </row>
    <row r="105" spans="1:19" ht="14.25" x14ac:dyDescent="0.15">
      <c r="A105" s="4" t="s">
        <v>524</v>
      </c>
      <c r="B105" s="7" t="s">
        <v>525</v>
      </c>
      <c r="C105" s="7" t="s">
        <v>526</v>
      </c>
      <c r="D105" s="5">
        <v>6</v>
      </c>
      <c r="E105" s="5" t="s">
        <v>510</v>
      </c>
      <c r="F105" s="6" t="s">
        <v>187</v>
      </c>
      <c r="G105" s="6"/>
      <c r="H105" s="6"/>
      <c r="I105" s="8" t="s">
        <v>527</v>
      </c>
      <c r="J105" s="6"/>
      <c r="K105" s="9">
        <v>24280000</v>
      </c>
      <c r="L105" s="6"/>
      <c r="M105" s="6"/>
      <c r="N105" t="s">
        <v>602</v>
      </c>
      <c r="O105" t="s">
        <v>602</v>
      </c>
      <c r="P105" t="s">
        <v>602</v>
      </c>
      <c r="Q105" t="s">
        <v>601</v>
      </c>
      <c r="R105" t="s">
        <v>601</v>
      </c>
      <c r="S105" t="s">
        <v>601</v>
      </c>
    </row>
    <row r="106" spans="1:19" ht="14.25" x14ac:dyDescent="0.15">
      <c r="A106" s="4" t="s">
        <v>528</v>
      </c>
      <c r="B106" s="7" t="s">
        <v>529</v>
      </c>
      <c r="C106" s="7" t="s">
        <v>488</v>
      </c>
      <c r="D106" s="5">
        <v>7</v>
      </c>
      <c r="E106" s="5" t="s">
        <v>530</v>
      </c>
      <c r="F106" s="6" t="s">
        <v>356</v>
      </c>
      <c r="G106" s="6"/>
      <c r="H106" s="6"/>
      <c r="I106" s="8" t="s">
        <v>204</v>
      </c>
      <c r="J106" s="6"/>
      <c r="K106" s="9">
        <v>5000000</v>
      </c>
      <c r="L106" s="6"/>
      <c r="M106" s="6"/>
      <c r="N106" t="s">
        <v>602</v>
      </c>
      <c r="O106" t="s">
        <v>602</v>
      </c>
      <c r="P106" t="s">
        <v>601</v>
      </c>
      <c r="Q106" t="s">
        <v>601</v>
      </c>
      <c r="R106" t="s">
        <v>601</v>
      </c>
      <c r="S106" t="s">
        <v>601</v>
      </c>
    </row>
    <row r="107" spans="1:19" ht="14.25" x14ac:dyDescent="0.15">
      <c r="A107" s="4" t="s">
        <v>531</v>
      </c>
      <c r="B107" s="7" t="s">
        <v>532</v>
      </c>
      <c r="C107" s="7" t="s">
        <v>533</v>
      </c>
      <c r="D107" s="5">
        <v>2</v>
      </c>
      <c r="E107" s="5" t="s">
        <v>534</v>
      </c>
      <c r="F107" s="6" t="s">
        <v>280</v>
      </c>
      <c r="G107" s="6"/>
      <c r="H107" s="6"/>
      <c r="I107" s="8">
        <f>J107*6.15</f>
        <v>20602500</v>
      </c>
      <c r="J107" s="9">
        <v>3350000</v>
      </c>
      <c r="K107" s="6"/>
      <c r="L107" s="6"/>
      <c r="M107" s="6"/>
      <c r="N107" t="s">
        <v>601</v>
      </c>
      <c r="O107" t="s">
        <v>601</v>
      </c>
      <c r="P107" t="s">
        <v>601</v>
      </c>
      <c r="Q107" t="s">
        <v>601</v>
      </c>
      <c r="R107" t="s">
        <v>601</v>
      </c>
      <c r="S107" t="s">
        <v>601</v>
      </c>
    </row>
    <row r="108" spans="1:19" ht="14.25" x14ac:dyDescent="0.15">
      <c r="A108" s="4" t="s">
        <v>535</v>
      </c>
      <c r="B108" s="7" t="s">
        <v>536</v>
      </c>
      <c r="C108" s="7" t="s">
        <v>488</v>
      </c>
      <c r="D108" s="5">
        <v>6</v>
      </c>
      <c r="E108" s="5" t="s">
        <v>497</v>
      </c>
      <c r="F108" s="6" t="s">
        <v>62</v>
      </c>
      <c r="G108" s="6">
        <v>59</v>
      </c>
      <c r="H108" s="6">
        <v>2</v>
      </c>
      <c r="I108" s="8">
        <f>J108*6.15</f>
        <v>55350000</v>
      </c>
      <c r="J108" s="9">
        <v>9000000</v>
      </c>
      <c r="K108" s="6"/>
      <c r="L108" s="6"/>
      <c r="M108" s="6"/>
      <c r="N108" t="s">
        <v>601</v>
      </c>
      <c r="O108" t="s">
        <v>601</v>
      </c>
      <c r="P108" t="s">
        <v>601</v>
      </c>
      <c r="Q108" t="s">
        <v>601</v>
      </c>
      <c r="R108" t="s">
        <v>601</v>
      </c>
      <c r="S108" t="s">
        <v>601</v>
      </c>
    </row>
    <row r="109" spans="1:19" ht="14.25" x14ac:dyDescent="0.15">
      <c r="A109" s="4" t="s">
        <v>537</v>
      </c>
      <c r="B109" s="7" t="s">
        <v>538</v>
      </c>
      <c r="C109" s="7"/>
      <c r="D109" s="5">
        <v>3</v>
      </c>
      <c r="E109" s="5" t="s">
        <v>517</v>
      </c>
      <c r="F109" s="6" t="s">
        <v>539</v>
      </c>
      <c r="G109" s="6">
        <v>74</v>
      </c>
      <c r="H109" s="6"/>
      <c r="I109" s="8">
        <v>383810000</v>
      </c>
      <c r="J109" s="6"/>
      <c r="K109" s="6"/>
      <c r="L109" s="9">
        <v>548300000</v>
      </c>
      <c r="M109" s="6"/>
      <c r="N109" t="s">
        <v>601</v>
      </c>
      <c r="O109" t="s">
        <v>601</v>
      </c>
      <c r="P109" t="s">
        <v>601</v>
      </c>
      <c r="Q109" t="s">
        <v>601</v>
      </c>
      <c r="R109" t="s">
        <v>601</v>
      </c>
      <c r="S109" t="s">
        <v>601</v>
      </c>
    </row>
    <row r="110" spans="1:19" ht="14.25" x14ac:dyDescent="0.15">
      <c r="A110" s="4" t="s">
        <v>540</v>
      </c>
      <c r="B110" s="7" t="s">
        <v>541</v>
      </c>
      <c r="C110" s="7" t="s">
        <v>542</v>
      </c>
      <c r="D110" s="5">
        <v>8</v>
      </c>
      <c r="E110" s="5" t="s">
        <v>543</v>
      </c>
      <c r="F110" s="6" t="s">
        <v>474</v>
      </c>
      <c r="G110" s="6">
        <v>70</v>
      </c>
      <c r="H110" s="6"/>
      <c r="I110" s="8" t="s">
        <v>544</v>
      </c>
      <c r="J110" s="6"/>
      <c r="K110" s="9">
        <v>216000000</v>
      </c>
      <c r="L110" s="6"/>
      <c r="M110" s="6"/>
      <c r="N110" t="s">
        <v>601</v>
      </c>
      <c r="O110" t="s">
        <v>601</v>
      </c>
      <c r="P110" t="s">
        <v>601</v>
      </c>
      <c r="Q110" t="s">
        <v>601</v>
      </c>
      <c r="R110" t="s">
        <v>601</v>
      </c>
      <c r="S110" t="s">
        <v>601</v>
      </c>
    </row>
    <row r="111" spans="1:19" ht="14.25" x14ac:dyDescent="0.15">
      <c r="A111" s="4" t="s">
        <v>545</v>
      </c>
      <c r="B111" s="7" t="s">
        <v>546</v>
      </c>
      <c r="C111" s="7"/>
      <c r="D111" s="5">
        <v>5</v>
      </c>
      <c r="E111" s="5" t="s">
        <v>547</v>
      </c>
      <c r="F111" s="6" t="s">
        <v>172</v>
      </c>
      <c r="G111" s="6"/>
      <c r="H111" s="6"/>
      <c r="I111" s="8">
        <f>J111*6.15</f>
        <v>61500000</v>
      </c>
      <c r="J111" s="9">
        <v>10000000</v>
      </c>
      <c r="K111" s="6"/>
      <c r="L111" s="6"/>
      <c r="M111" s="6"/>
      <c r="N111" t="s">
        <v>601</v>
      </c>
      <c r="O111" t="s">
        <v>601</v>
      </c>
      <c r="P111" t="s">
        <v>601</v>
      </c>
      <c r="Q111" t="s">
        <v>601</v>
      </c>
      <c r="R111" t="s">
        <v>601</v>
      </c>
      <c r="S111" t="s">
        <v>601</v>
      </c>
    </row>
    <row r="112" spans="1:19" ht="14.25" x14ac:dyDescent="0.15">
      <c r="A112" s="4" t="s">
        <v>548</v>
      </c>
      <c r="B112" s="7" t="s">
        <v>549</v>
      </c>
      <c r="C112" s="7" t="s">
        <v>488</v>
      </c>
      <c r="D112" s="5">
        <v>4</v>
      </c>
      <c r="E112" s="5" t="s">
        <v>522</v>
      </c>
      <c r="F112" s="6" t="s">
        <v>427</v>
      </c>
      <c r="G112" s="6">
        <v>89</v>
      </c>
      <c r="H112" s="6"/>
      <c r="I112" s="8" t="s">
        <v>204</v>
      </c>
      <c r="J112" s="6"/>
      <c r="K112" s="9">
        <v>5000000</v>
      </c>
      <c r="L112" s="6"/>
      <c r="M112" s="6"/>
      <c r="N112" t="s">
        <v>601</v>
      </c>
      <c r="O112" t="s">
        <v>601</v>
      </c>
      <c r="P112" t="s">
        <v>601</v>
      </c>
      <c r="Q112" t="s">
        <v>601</v>
      </c>
      <c r="R112" t="s">
        <v>601</v>
      </c>
      <c r="S112" t="s">
        <v>601</v>
      </c>
    </row>
    <row r="113" spans="1:19" ht="14.25" x14ac:dyDescent="0.15">
      <c r="A113" s="4" t="s">
        <v>550</v>
      </c>
      <c r="B113" s="7" t="s">
        <v>551</v>
      </c>
      <c r="C113" s="7" t="s">
        <v>488</v>
      </c>
      <c r="D113" s="5">
        <v>7</v>
      </c>
      <c r="E113" s="5" t="s">
        <v>510</v>
      </c>
      <c r="F113" s="6" t="s">
        <v>187</v>
      </c>
      <c r="G113" s="6"/>
      <c r="H113" s="6"/>
      <c r="I113" s="8" t="s">
        <v>346</v>
      </c>
      <c r="J113" s="6"/>
      <c r="K113" s="9">
        <v>50000000</v>
      </c>
      <c r="L113" s="6"/>
      <c r="M113" s="6"/>
      <c r="N113" t="s">
        <v>602</v>
      </c>
      <c r="O113" t="s">
        <v>602</v>
      </c>
      <c r="P113" t="s">
        <v>601</v>
      </c>
      <c r="Q113" t="s">
        <v>601</v>
      </c>
      <c r="R113" t="s">
        <v>601</v>
      </c>
      <c r="S113" t="s">
        <v>601</v>
      </c>
    </row>
    <row r="114" spans="1:19" ht="14.25" x14ac:dyDescent="0.15">
      <c r="A114" s="4" t="s">
        <v>552</v>
      </c>
      <c r="B114" s="7" t="s">
        <v>553</v>
      </c>
      <c r="C114" s="7"/>
      <c r="D114" s="5">
        <v>8</v>
      </c>
      <c r="E114" s="5" t="s">
        <v>554</v>
      </c>
      <c r="F114" s="6" t="s">
        <v>450</v>
      </c>
      <c r="G114" s="6">
        <v>11</v>
      </c>
      <c r="H114" s="6"/>
      <c r="I114" s="8" t="s">
        <v>555</v>
      </c>
      <c r="J114" s="6"/>
      <c r="K114" s="9">
        <v>138091677827</v>
      </c>
      <c r="L114" s="6"/>
      <c r="M114" s="6"/>
      <c r="N114" t="s">
        <v>601</v>
      </c>
      <c r="O114" t="s">
        <v>601</v>
      </c>
      <c r="P114" t="s">
        <v>601</v>
      </c>
      <c r="Q114" t="s">
        <v>601</v>
      </c>
      <c r="R114" t="s">
        <v>601</v>
      </c>
      <c r="S114" t="s">
        <v>601</v>
      </c>
    </row>
    <row r="115" spans="1:19" ht="14.25" x14ac:dyDescent="0.15">
      <c r="A115" s="4" t="s">
        <v>556</v>
      </c>
      <c r="B115" s="7" t="s">
        <v>557</v>
      </c>
      <c r="C115" s="7" t="s">
        <v>488</v>
      </c>
      <c r="D115" s="5">
        <v>4</v>
      </c>
      <c r="E115" s="5" t="s">
        <v>543</v>
      </c>
      <c r="F115" s="6" t="s">
        <v>474</v>
      </c>
      <c r="G115" s="6">
        <v>87</v>
      </c>
      <c r="H115" s="6"/>
      <c r="I115" s="8" t="s">
        <v>558</v>
      </c>
      <c r="J115" s="6"/>
      <c r="K115" s="9">
        <v>120000000</v>
      </c>
      <c r="L115" s="6"/>
      <c r="M115" s="6"/>
      <c r="N115" t="s">
        <v>601</v>
      </c>
      <c r="O115" t="s">
        <v>601</v>
      </c>
      <c r="P115" t="s">
        <v>601</v>
      </c>
      <c r="Q115" t="s">
        <v>601</v>
      </c>
      <c r="R115" t="s">
        <v>601</v>
      </c>
      <c r="S115" t="s">
        <v>601</v>
      </c>
    </row>
    <row r="116" spans="1:19" ht="14.25" x14ac:dyDescent="0.15">
      <c r="A116" s="4" t="s">
        <v>559</v>
      </c>
      <c r="B116" s="7" t="s">
        <v>560</v>
      </c>
      <c r="C116" s="7" t="s">
        <v>561</v>
      </c>
      <c r="D116" s="5"/>
      <c r="E116" s="5" t="s">
        <v>562</v>
      </c>
      <c r="F116" s="6" t="s">
        <v>563</v>
      </c>
      <c r="G116" s="6">
        <v>80</v>
      </c>
      <c r="H116" s="6"/>
      <c r="I116" s="8" t="s">
        <v>208</v>
      </c>
      <c r="J116" s="6"/>
      <c r="K116" s="9">
        <v>100000000</v>
      </c>
      <c r="L116" s="6"/>
      <c r="M116" s="6"/>
      <c r="N116" t="s">
        <v>601</v>
      </c>
      <c r="O116" t="s">
        <v>601</v>
      </c>
      <c r="P116" t="s">
        <v>601</v>
      </c>
      <c r="Q116" t="s">
        <v>601</v>
      </c>
      <c r="R116" t="s">
        <v>601</v>
      </c>
      <c r="S116" t="s">
        <v>601</v>
      </c>
    </row>
    <row r="117" spans="1:19" ht="14.25" x14ac:dyDescent="0.15">
      <c r="A117" s="4" t="s">
        <v>564</v>
      </c>
      <c r="B117" s="7" t="s">
        <v>565</v>
      </c>
      <c r="C117" s="7" t="s">
        <v>533</v>
      </c>
      <c r="D117" s="5">
        <v>8</v>
      </c>
      <c r="E117" s="5" t="s">
        <v>566</v>
      </c>
      <c r="F117" s="6" t="s">
        <v>567</v>
      </c>
      <c r="G117" s="6"/>
      <c r="H117" s="6"/>
      <c r="I117" s="8" t="s">
        <v>568</v>
      </c>
      <c r="J117" s="6"/>
      <c r="K117" s="9">
        <v>990000</v>
      </c>
      <c r="L117" s="6"/>
      <c r="M117" s="6"/>
      <c r="N117" t="s">
        <v>601</v>
      </c>
      <c r="O117" t="s">
        <v>601</v>
      </c>
      <c r="P117" t="s">
        <v>601</v>
      </c>
      <c r="Q117" t="s">
        <v>601</v>
      </c>
      <c r="R117" t="s">
        <v>601</v>
      </c>
      <c r="S117" t="s">
        <v>601</v>
      </c>
    </row>
    <row r="118" spans="1:19" ht="14.25" x14ac:dyDescent="0.15">
      <c r="A118" s="4" t="s">
        <v>569</v>
      </c>
      <c r="B118" s="7" t="s">
        <v>570</v>
      </c>
      <c r="C118" s="7" t="s">
        <v>488</v>
      </c>
      <c r="D118" s="5"/>
      <c r="E118" s="5" t="s">
        <v>571</v>
      </c>
      <c r="F118" s="6" t="s">
        <v>219</v>
      </c>
      <c r="G118" s="6"/>
      <c r="H118" s="6"/>
      <c r="I118" s="8" t="s">
        <v>204</v>
      </c>
      <c r="J118" s="6"/>
      <c r="K118" s="9">
        <v>5000000</v>
      </c>
      <c r="L118" s="6"/>
      <c r="M118" s="6"/>
      <c r="N118" t="s">
        <v>601</v>
      </c>
      <c r="O118" t="s">
        <v>601</v>
      </c>
      <c r="P118" t="s">
        <v>601</v>
      </c>
      <c r="Q118" t="s">
        <v>601</v>
      </c>
      <c r="R118" t="s">
        <v>601</v>
      </c>
      <c r="S118" t="s">
        <v>601</v>
      </c>
    </row>
    <row r="119" spans="1:19" ht="14.25" x14ac:dyDescent="0.15">
      <c r="A119" s="4" t="s">
        <v>572</v>
      </c>
      <c r="B119" s="7" t="s">
        <v>573</v>
      </c>
      <c r="C119" s="7" t="s">
        <v>574</v>
      </c>
      <c r="D119" s="5">
        <v>10</v>
      </c>
      <c r="E119" s="5" t="s">
        <v>547</v>
      </c>
      <c r="F119" s="6" t="s">
        <v>172</v>
      </c>
      <c r="G119" s="6"/>
      <c r="H119" s="6"/>
      <c r="I119" s="8" t="s">
        <v>575</v>
      </c>
      <c r="J119" s="6"/>
      <c r="K119" s="9">
        <v>40000000</v>
      </c>
      <c r="L119" s="6"/>
      <c r="M119" s="6"/>
      <c r="N119" t="s">
        <v>602</v>
      </c>
      <c r="O119" t="s">
        <v>602</v>
      </c>
      <c r="P119" t="s">
        <v>602</v>
      </c>
      <c r="Q119" t="s">
        <v>601</v>
      </c>
      <c r="R119" t="s">
        <v>601</v>
      </c>
      <c r="S119" t="s">
        <v>602</v>
      </c>
    </row>
    <row r="120" spans="1:19" ht="14.25" x14ac:dyDescent="0.15">
      <c r="A120" s="4" t="s">
        <v>576</v>
      </c>
      <c r="B120" s="7" t="s">
        <v>577</v>
      </c>
      <c r="C120" s="7" t="s">
        <v>509</v>
      </c>
      <c r="D120" s="5">
        <v>5</v>
      </c>
      <c r="E120" s="5" t="s">
        <v>578</v>
      </c>
      <c r="F120" s="6" t="s">
        <v>110</v>
      </c>
      <c r="G120" s="6"/>
      <c r="H120" s="6"/>
      <c r="I120" s="8" t="s">
        <v>579</v>
      </c>
      <c r="J120" s="6"/>
      <c r="K120" s="9">
        <v>10000000000</v>
      </c>
      <c r="L120" s="6"/>
      <c r="M120" s="6"/>
      <c r="N120" t="s">
        <v>601</v>
      </c>
      <c r="O120" t="s">
        <v>601</v>
      </c>
      <c r="P120" t="s">
        <v>601</v>
      </c>
      <c r="Q120" t="s">
        <v>601</v>
      </c>
      <c r="R120" t="s">
        <v>601</v>
      </c>
      <c r="S120" t="s">
        <v>601</v>
      </c>
    </row>
    <row r="121" spans="1:19" ht="14.25" x14ac:dyDescent="0.15">
      <c r="A121" s="4" t="s">
        <v>580</v>
      </c>
      <c r="B121" s="7" t="s">
        <v>581</v>
      </c>
      <c r="C121" s="7" t="s">
        <v>488</v>
      </c>
      <c r="D121" s="5">
        <v>8</v>
      </c>
      <c r="E121" s="5" t="s">
        <v>582</v>
      </c>
      <c r="F121" s="6" t="s">
        <v>284</v>
      </c>
      <c r="G121" s="6"/>
      <c r="H121" s="6">
        <v>4</v>
      </c>
      <c r="I121" s="8" t="s">
        <v>288</v>
      </c>
      <c r="J121" s="6"/>
      <c r="K121" s="9">
        <v>3000000</v>
      </c>
      <c r="L121" s="6"/>
      <c r="M121" s="6"/>
      <c r="N121" t="s">
        <v>602</v>
      </c>
      <c r="O121" t="s">
        <v>602</v>
      </c>
      <c r="P121" t="s">
        <v>601</v>
      </c>
      <c r="Q121" t="s">
        <v>601</v>
      </c>
      <c r="R121" t="s">
        <v>601</v>
      </c>
      <c r="S121" t="s">
        <v>601</v>
      </c>
    </row>
    <row r="122" spans="1:19" ht="14.25" x14ac:dyDescent="0.15">
      <c r="A122" s="4" t="s">
        <v>583</v>
      </c>
      <c r="B122" s="7" t="s">
        <v>584</v>
      </c>
      <c r="C122" s="7" t="s">
        <v>488</v>
      </c>
      <c r="D122" s="5">
        <v>5</v>
      </c>
      <c r="E122" s="5" t="s">
        <v>585</v>
      </c>
      <c r="F122" s="6" t="s">
        <v>182</v>
      </c>
      <c r="G122" s="6"/>
      <c r="H122" s="6"/>
      <c r="I122" s="8" t="s">
        <v>183</v>
      </c>
      <c r="J122" s="6"/>
      <c r="K122" s="9">
        <v>500000</v>
      </c>
      <c r="L122" s="6"/>
      <c r="M122" s="6"/>
      <c r="N122" t="s">
        <v>601</v>
      </c>
      <c r="O122" t="s">
        <v>601</v>
      </c>
      <c r="P122" t="s">
        <v>601</v>
      </c>
      <c r="Q122" t="s">
        <v>601</v>
      </c>
      <c r="R122" t="s">
        <v>601</v>
      </c>
      <c r="S122" t="s">
        <v>601</v>
      </c>
    </row>
    <row r="123" spans="1:19" ht="14.25" x14ac:dyDescent="0.15">
      <c r="A123" s="4" t="s">
        <v>586</v>
      </c>
      <c r="B123" s="7" t="s">
        <v>587</v>
      </c>
      <c r="C123" s="7" t="s">
        <v>526</v>
      </c>
      <c r="D123" s="5">
        <v>5</v>
      </c>
      <c r="E123" s="5" t="s">
        <v>513</v>
      </c>
      <c r="F123" s="6" t="s">
        <v>588</v>
      </c>
      <c r="G123" s="6">
        <v>77</v>
      </c>
      <c r="H123" s="6"/>
      <c r="I123" s="8">
        <f>J123*6.15</f>
        <v>461250000</v>
      </c>
      <c r="J123" s="9">
        <v>75000000</v>
      </c>
      <c r="K123" s="6"/>
      <c r="L123" s="6"/>
      <c r="M123" s="6"/>
      <c r="N123" t="s">
        <v>601</v>
      </c>
      <c r="O123" t="s">
        <v>601</v>
      </c>
      <c r="P123" t="s">
        <v>601</v>
      </c>
      <c r="Q123" t="s">
        <v>601</v>
      </c>
      <c r="R123" t="s">
        <v>601</v>
      </c>
      <c r="S123" t="s">
        <v>601</v>
      </c>
    </row>
    <row r="124" spans="1:19" ht="14.25" x14ac:dyDescent="0.15">
      <c r="A124" s="4" t="s">
        <v>589</v>
      </c>
      <c r="B124" s="7" t="s">
        <v>590</v>
      </c>
      <c r="C124" s="7" t="s">
        <v>488</v>
      </c>
      <c r="D124" s="5">
        <v>7</v>
      </c>
      <c r="E124" s="5" t="s">
        <v>591</v>
      </c>
      <c r="F124" s="6" t="s">
        <v>237</v>
      </c>
      <c r="G124" s="6"/>
      <c r="H124" s="6"/>
      <c r="I124" s="8" t="s">
        <v>183</v>
      </c>
      <c r="J124" s="6"/>
      <c r="K124" s="9">
        <v>500000</v>
      </c>
      <c r="L124" s="6"/>
      <c r="M124" s="6"/>
      <c r="N124" t="s">
        <v>601</v>
      </c>
      <c r="O124" t="s">
        <v>601</v>
      </c>
      <c r="P124" t="s">
        <v>601</v>
      </c>
      <c r="Q124" t="s">
        <v>601</v>
      </c>
      <c r="R124" t="s">
        <v>601</v>
      </c>
      <c r="S124" t="s">
        <v>601</v>
      </c>
    </row>
    <row r="125" spans="1:19" ht="14.25" x14ac:dyDescent="0.15">
      <c r="A125" s="4" t="s">
        <v>592</v>
      </c>
      <c r="B125" s="7" t="s">
        <v>593</v>
      </c>
      <c r="C125" s="7" t="s">
        <v>542</v>
      </c>
      <c r="D125" s="5">
        <v>5</v>
      </c>
      <c r="E125" s="5" t="s">
        <v>594</v>
      </c>
      <c r="F125" s="6" t="s">
        <v>406</v>
      </c>
      <c r="G125" s="6"/>
      <c r="H125" s="6">
        <v>3</v>
      </c>
      <c r="I125" s="8" t="s">
        <v>204</v>
      </c>
      <c r="J125" s="6"/>
      <c r="K125" s="9">
        <v>5000000</v>
      </c>
      <c r="L125" s="6"/>
      <c r="M125" s="6"/>
      <c r="N125" t="s">
        <v>601</v>
      </c>
      <c r="O125" t="s">
        <v>601</v>
      </c>
      <c r="P125" t="s">
        <v>601</v>
      </c>
      <c r="Q125" t="s">
        <v>601</v>
      </c>
      <c r="R125" t="s">
        <v>601</v>
      </c>
      <c r="S125" t="s">
        <v>601</v>
      </c>
    </row>
    <row r="126" spans="1:19" ht="14.25" x14ac:dyDescent="0.15">
      <c r="A126" s="4" t="s">
        <v>595</v>
      </c>
      <c r="B126" s="7" t="s">
        <v>596</v>
      </c>
      <c r="C126" s="7" t="s">
        <v>488</v>
      </c>
      <c r="D126" s="5">
        <v>6</v>
      </c>
      <c r="E126" s="5" t="s">
        <v>497</v>
      </c>
      <c r="F126" s="6" t="s">
        <v>62</v>
      </c>
      <c r="G126" s="6"/>
      <c r="H126" s="6"/>
      <c r="I126" s="8">
        <f>J126*6.15</f>
        <v>16359000.000000002</v>
      </c>
      <c r="J126" s="9">
        <v>2660000</v>
      </c>
      <c r="K126" s="6"/>
      <c r="L126" s="6"/>
      <c r="M126" s="6"/>
      <c r="N126" t="s">
        <v>602</v>
      </c>
      <c r="O126" t="s">
        <v>602</v>
      </c>
      <c r="P126" t="s">
        <v>601</v>
      </c>
      <c r="Q126" t="s">
        <v>601</v>
      </c>
      <c r="R126" t="s">
        <v>601</v>
      </c>
      <c r="S126" t="s">
        <v>601</v>
      </c>
    </row>
    <row r="127" spans="1:19" ht="14.25" x14ac:dyDescent="0.15">
      <c r="A127" s="4" t="s">
        <v>597</v>
      </c>
      <c r="B127" s="7" t="s">
        <v>598</v>
      </c>
      <c r="C127" s="7" t="s">
        <v>488</v>
      </c>
      <c r="D127" s="5">
        <v>1</v>
      </c>
      <c r="E127" s="5" t="s">
        <v>599</v>
      </c>
      <c r="F127" s="6" t="s">
        <v>600</v>
      </c>
      <c r="G127" s="6">
        <v>71</v>
      </c>
      <c r="H127" s="6"/>
      <c r="I127" s="8">
        <f>J127*6.15</f>
        <v>61500000</v>
      </c>
      <c r="J127" s="9">
        <v>10000000</v>
      </c>
      <c r="K127" s="6"/>
      <c r="L127" s="6"/>
      <c r="M127" s="6"/>
      <c r="N127" t="s">
        <v>601</v>
      </c>
      <c r="O127" t="s">
        <v>601</v>
      </c>
      <c r="P127" t="s">
        <v>601</v>
      </c>
      <c r="Q127" t="s">
        <v>601</v>
      </c>
      <c r="R127" t="s">
        <v>601</v>
      </c>
      <c r="S127" t="s">
        <v>601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adAgingData2">
                <anchor moveWithCells="1">
                  <from>
                    <xdr:col>11</xdr:col>
                    <xdr:colOff>47625</xdr:colOff>
                    <xdr:row>1</xdr:row>
                    <xdr:rowOff>123825</xdr:rowOff>
                  </from>
                  <to>
                    <xdr:col>12</xdr:col>
                    <xdr:colOff>628650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Leasing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2014-06-30T10:01:03Z</dcterms:modified>
</cp:coreProperties>
</file>