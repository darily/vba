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15" windowWidth="14760" windowHeight="7425" tabRatio="608" activeTab="4"/>
  </bookViews>
  <sheets>
    <sheet name="cover page" sheetId="1" r:id="rId1"/>
    <sheet name="customer data" sheetId="2" r:id="rId2"/>
    <sheet name="Deal Risk (2)" sheetId="5" r:id="rId3"/>
    <sheet name="Deal Risk (3)" sheetId="6" r:id="rId4"/>
    <sheet name="Leasing" sheetId="9" r:id="rId5"/>
    <sheet name="Criteria" sheetId="8" r:id="rId6"/>
    <sheet name="Score" sheetId="10" r:id="rId7"/>
    <sheet name="Sheet1" sheetId="7" r:id="rId8"/>
  </sheets>
  <functionGroups builtInGroupCount="17"/>
  <definedNames>
    <definedName name="_xlnm._FilterDatabase" localSheetId="1" hidden="1">'customer data'!$B$2:$H$128</definedName>
    <definedName name="_xlnm._FilterDatabase" localSheetId="2" hidden="1">'Deal Risk (2)'!$B$50:$B$79</definedName>
    <definedName name="_xlnm._FilterDatabase" localSheetId="3" hidden="1">'Deal Risk (3)'!$A$3:$L$34</definedName>
  </definedNames>
  <calcPr calcId="145621" calcMode="manual"/>
</workbook>
</file>

<file path=xl/calcChain.xml><?xml version="1.0" encoding="utf-8"?>
<calcChain xmlns="http://schemas.openxmlformats.org/spreadsheetml/2006/main">
  <c r="H4" i="9" l="1"/>
  <c r="G4" i="9"/>
  <c r="F4" i="9"/>
  <c r="E4" i="9"/>
  <c r="D4" i="9"/>
  <c r="C4" i="9"/>
  <c r="G3" i="2" l="1"/>
  <c r="J1" i="2" l="1"/>
  <c r="E6" i="10" l="1"/>
  <c r="E10" i="10" l="1"/>
  <c r="E13" i="10"/>
  <c r="E12" i="10"/>
  <c r="E4" i="10"/>
  <c r="E3" i="10"/>
  <c r="B13" i="10"/>
  <c r="B12" i="10"/>
  <c r="B4" i="10"/>
  <c r="B3" i="10"/>
  <c r="F3" i="10" s="1"/>
  <c r="A13" i="10"/>
  <c r="A12" i="10"/>
  <c r="A4" i="10"/>
  <c r="A3" i="10"/>
  <c r="F12" i="10" l="1"/>
  <c r="F13" i="10"/>
  <c r="F4" i="10"/>
  <c r="M42" i="1"/>
  <c r="G3" i="10" l="1"/>
  <c r="C70" i="1"/>
  <c r="D69" i="1" l="1"/>
  <c r="E69" i="1" s="1"/>
  <c r="G4" i="2" l="1"/>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D73" i="1" l="1"/>
  <c r="D67" i="1" s="1"/>
  <c r="D70" i="1" s="1"/>
  <c r="E73" i="1"/>
  <c r="E67" i="1" s="1"/>
  <c r="E70" i="1" s="1"/>
  <c r="C73" i="1"/>
  <c r="D53" i="1" l="1"/>
  <c r="D48" i="1"/>
  <c r="C61" i="1" s="1"/>
  <c r="C62" i="1" l="1"/>
  <c r="E62" i="1" s="1"/>
  <c r="E61" i="1"/>
  <c r="D34" i="1"/>
  <c r="C59" i="1" s="1"/>
  <c r="E59" i="1" s="1"/>
  <c r="F28" i="6" l="1"/>
  <c r="I37" i="6"/>
  <c r="F38" i="6"/>
  <c r="F59" i="6"/>
  <c r="F28" i="5" l="1"/>
  <c r="F38" i="5"/>
  <c r="D39" i="5"/>
  <c r="C49" i="5"/>
  <c r="F60" i="5"/>
  <c r="J42" i="1" l="1"/>
  <c r="M18" i="1"/>
  <c r="M17" i="1" s="1"/>
  <c r="M16" i="1" s="1"/>
  <c r="M15" i="1" s="1"/>
  <c r="M14" i="1" s="1"/>
  <c r="M13" i="1" s="1"/>
  <c r="M12" i="1" s="1"/>
  <c r="M11" i="1" s="1"/>
  <c r="M10" i="1" s="1"/>
  <c r="M9" i="1" s="1"/>
  <c r="M8" i="1" s="1"/>
  <c r="G42" i="1" l="1"/>
  <c r="D42" i="1" l="1"/>
  <c r="D43" i="1" s="1"/>
  <c r="C60" i="1" s="1"/>
  <c r="E60" i="1" s="1"/>
  <c r="E63" i="1" s="1"/>
  <c r="C66" i="1" s="1"/>
  <c r="D66" i="1" l="1"/>
  <c r="C68" i="1"/>
  <c r="D68" i="1" l="1"/>
  <c r="E66" i="1"/>
  <c r="E68" i="1" s="1"/>
</calcChain>
</file>

<file path=xl/comments1.xml><?xml version="1.0" encoding="utf-8"?>
<comments xmlns="http://schemas.openxmlformats.org/spreadsheetml/2006/main">
  <authors>
    <author>Li, Le</author>
  </authors>
  <commentList>
    <comment ref="G5" authorId="0">
      <text>
        <r>
          <rPr>
            <b/>
            <sz val="9"/>
            <color indexed="81"/>
            <rFont val="宋体"/>
            <family val="3"/>
            <charset val="134"/>
          </rPr>
          <t>Li, Le:</t>
        </r>
        <r>
          <rPr>
            <sz val="9"/>
            <color indexed="81"/>
            <rFont val="宋体"/>
            <family val="3"/>
            <charset val="134"/>
          </rPr>
          <t xml:space="preserve">
The EMMA score is based on a scale of 1 to 10, where 1 represents a lower risk and 10 a higher risk. </t>
        </r>
      </text>
    </comment>
    <comment ref="R8" authorId="0">
      <text>
        <r>
          <rPr>
            <b/>
            <sz val="9"/>
            <color indexed="81"/>
            <rFont val="宋体"/>
            <family val="3"/>
            <charset val="134"/>
          </rPr>
          <t>Li, Le:</t>
        </r>
        <r>
          <rPr>
            <sz val="9"/>
            <color indexed="81"/>
            <rFont val="宋体"/>
            <family val="3"/>
            <charset val="134"/>
          </rPr>
          <t xml:space="preserve">
in principle, we do not make deal with those with delinquence record, but if the customer is strategic important, it is considerable. </t>
        </r>
      </text>
    </comment>
  </commentList>
</comments>
</file>

<file path=xl/comments2.xml><?xml version="1.0" encoding="utf-8"?>
<comments xmlns="http://schemas.openxmlformats.org/spreadsheetml/2006/main">
  <authors>
    <author>Li, Le</author>
  </authors>
  <commentList>
    <comment ref="C85"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6"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mments3.xml><?xml version="1.0" encoding="utf-8"?>
<comments xmlns="http://schemas.openxmlformats.org/spreadsheetml/2006/main">
  <authors>
    <author>Li, Le</author>
  </authors>
  <commentList>
    <comment ref="C84" authorId="0">
      <text>
        <r>
          <rPr>
            <b/>
            <sz val="9"/>
            <color indexed="81"/>
            <rFont val="宋体"/>
            <family val="3"/>
            <charset val="134"/>
          </rPr>
          <t>Li, Le:</t>
        </r>
        <r>
          <rPr>
            <sz val="9"/>
            <color indexed="81"/>
            <rFont val="宋体"/>
            <family val="3"/>
            <charset val="134"/>
          </rPr>
          <t xml:space="preserve">
mainly consider remarkeing of proposed objects in the event of default 
</t>
        </r>
      </text>
    </comment>
    <comment ref="C85" authorId="0">
      <text>
        <r>
          <rPr>
            <b/>
            <sz val="9"/>
            <color indexed="81"/>
            <rFont val="宋体"/>
            <family val="3"/>
            <charset val="134"/>
          </rPr>
          <t>Li, Le:</t>
        </r>
        <r>
          <rPr>
            <sz val="9"/>
            <color indexed="81"/>
            <rFont val="宋体"/>
            <family val="3"/>
            <charset val="134"/>
          </rPr>
          <t xml:space="preserve">
leveage ratio deals here with funding structure of each leasing transaction </t>
        </r>
      </text>
    </comment>
  </commentList>
</comments>
</file>

<file path=xl/connections.xml><?xml version="1.0" encoding="utf-8"?>
<connections xmlns="http://schemas.openxmlformats.org/spreadsheetml/2006/main">
  <connection id="1" name="连接" type="1" refreshedVersion="0" background="1">
    <dbPr connection="DSN=Excel Files;DBQ='.\09. Lease Info for Finance Leasing.xlsx'" command="SELECT * FROM `C:\Users\dylai\Desktop\数据`.chaxun1"/>
  </connection>
  <connection id="2" name="连接1" type="1" refreshedVersion="0" background="1">
    <dbPr connection="DSN=Excel Files;DBQ='.\09. Lease Info for Finance Leasing.xlsx'" command="SELECT * FROM `C:\Users\dylai\Desktop\数据`.chaxun1"/>
  </connection>
  <connection id="3" name="连接2" type="1" refreshedVersion="0" background="1">
    <dbPr connection="DSN=Excel Files;DBQ='.\09. Lease Info for Finance Leasing.xlsx'" command="SELECT * FROM `C:\Users\dylai\Desktop\数据`.chaxun1"/>
  </connection>
  <connection id="4" name="连接3" type="1" refreshedVersion="0" background="1">
    <dbPr connection="DSN=Excel Files;DBQ='.\09. Lease Info for Finance Leasing.xlsx'" command="SELECT * FROM `C:\Users\dylai\Desktop\数据`.chaxun1"/>
  </connection>
  <connection id="5" name="连接4" type="1" refreshedVersion="0" background="1">
    <dbPr connection="DSN=Excel Files;DBQ='.\09. Lease Info for Finance Leasing.xlsx'" command="SELECT * FROM `C:\Users\dylai\Desktop\数据`.chaxun1"/>
  </connection>
  <connection id="6" name="连接5" type="1" refreshedVersion="0" background="1">
    <dbPr connection="DSN=Excel Files;DBQ='.\09. Lease Info for Finance Leasing.xlsx'" command="SELECT * FROM `C:\Users\dylai\Desktop\数据`.chaxun1"/>
  </connection>
</connections>
</file>

<file path=xl/sharedStrings.xml><?xml version="1.0" encoding="utf-8"?>
<sst xmlns="http://schemas.openxmlformats.org/spreadsheetml/2006/main" count="931" uniqueCount="758">
  <si>
    <t xml:space="preserve">D&amp;B Rating </t>
    <phoneticPr fontId="1" type="noConversion"/>
  </si>
  <si>
    <t>Tangible net worth</t>
    <phoneticPr fontId="1" type="noConversion"/>
  </si>
  <si>
    <t xml:space="preserve">registered capital </t>
    <phoneticPr fontId="1" type="noConversion"/>
  </si>
  <si>
    <t>5A</t>
    <phoneticPr fontId="1" type="noConversion"/>
  </si>
  <si>
    <t>4A</t>
  </si>
  <si>
    <t>4A</t>
    <phoneticPr fontId="1" type="noConversion"/>
  </si>
  <si>
    <t>3A</t>
    <phoneticPr fontId="1" type="noConversion"/>
  </si>
  <si>
    <t>2A</t>
  </si>
  <si>
    <t>1A</t>
  </si>
  <si>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</si>
  <si>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</si>
  <si>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</si>
  <si>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</si>
  <si>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</si>
  <si>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</si>
  <si>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</si>
  <si>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</si>
  <si>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5AA</t>
    <phoneticPr fontId="1" type="noConversion"/>
  </si>
  <si>
    <t>4AA</t>
    <phoneticPr fontId="1" type="noConversion"/>
  </si>
  <si>
    <t>3AA</t>
    <phoneticPr fontId="1" type="noConversion"/>
  </si>
  <si>
    <t>2AA</t>
    <phoneticPr fontId="1" type="noConversion"/>
  </si>
  <si>
    <t>1AA</t>
    <phoneticPr fontId="1" type="noConversion"/>
  </si>
  <si>
    <t>AA</t>
    <phoneticPr fontId="1" type="noConversion"/>
  </si>
  <si>
    <t>BB</t>
    <phoneticPr fontId="1" type="noConversion"/>
  </si>
  <si>
    <t>CC</t>
    <phoneticPr fontId="1" type="noConversion"/>
  </si>
  <si>
    <t>DD</t>
    <phoneticPr fontId="1" type="noConversion"/>
  </si>
  <si>
    <t>EE</t>
    <phoneticPr fontId="1" type="noConversion"/>
  </si>
  <si>
    <t>FF</t>
    <phoneticPr fontId="1" type="noConversion"/>
  </si>
  <si>
    <t>GG</t>
    <phoneticPr fontId="1" type="noConversion"/>
  </si>
  <si>
    <t>HH</t>
    <phoneticPr fontId="1" type="noConversion"/>
  </si>
  <si>
    <t>N</t>
    <phoneticPr fontId="1" type="noConversion"/>
  </si>
  <si>
    <t>O</t>
    <phoneticPr fontId="1" type="noConversion"/>
  </si>
  <si>
    <t>NB</t>
    <phoneticPr fontId="1" type="noConversion"/>
  </si>
  <si>
    <t>NQ</t>
    <phoneticPr fontId="1" type="noConversion"/>
  </si>
  <si>
    <t>BR</t>
    <phoneticPr fontId="1" type="noConversion"/>
  </si>
  <si>
    <t>INV</t>
    <phoneticPr fontId="1" type="noConversion"/>
  </si>
  <si>
    <t>RMB</t>
    <phoneticPr fontId="1" type="noConversion"/>
  </si>
  <si>
    <t>alternate ratings</t>
    <phoneticPr fontId="1" type="noConversion"/>
  </si>
  <si>
    <t xml:space="preserve">Explanation </t>
    <phoneticPr fontId="1" type="noConversion"/>
  </si>
  <si>
    <t>Financial strength is negative</t>
    <phoneticPr fontId="1" type="noConversion"/>
  </si>
  <si>
    <t>6500000-8499999</t>
    <phoneticPr fontId="1" type="noConversion"/>
  </si>
  <si>
    <t>4500000-6499999</t>
    <phoneticPr fontId="1" type="noConversion"/>
  </si>
  <si>
    <t>2500000-4499999</t>
    <phoneticPr fontId="1" type="noConversion"/>
  </si>
  <si>
    <t>1750000-249999</t>
    <phoneticPr fontId="1" type="noConversion"/>
  </si>
  <si>
    <t>1000000-1749999</t>
    <phoneticPr fontId="1" type="noConversion"/>
  </si>
  <si>
    <t>650000-999999</t>
    <phoneticPr fontId="1" type="noConversion"/>
  </si>
  <si>
    <t>450000-649999</t>
    <phoneticPr fontId="1" type="noConversion"/>
  </si>
  <si>
    <t>300000-449999</t>
    <phoneticPr fontId="1" type="noConversion"/>
  </si>
  <si>
    <t>200000-299999</t>
    <phoneticPr fontId="1" type="noConversion"/>
  </si>
  <si>
    <t>&lt;200,000</t>
    <phoneticPr fontId="1" type="noConversion"/>
  </si>
  <si>
    <t>Financial strength is undisclosed</t>
    <phoneticPr fontId="1" type="noConversion"/>
  </si>
  <si>
    <t>new Business</t>
    <phoneticPr fontId="1" type="noConversion"/>
  </si>
  <si>
    <t xml:space="preserve">out of business:  business has ceased to trade </t>
    <phoneticPr fontId="1" type="noConversion"/>
  </si>
  <si>
    <t xml:space="preserve">Branch or division location </t>
    <phoneticPr fontId="1" type="noConversion"/>
  </si>
  <si>
    <t xml:space="preserve">Investigation is undergoing </t>
    <phoneticPr fontId="1" type="noConversion"/>
  </si>
  <si>
    <t>EMMA Score</t>
    <phoneticPr fontId="1" type="noConversion"/>
  </si>
  <si>
    <t>limited</t>
    <phoneticPr fontId="1" type="noConversion"/>
  </si>
  <si>
    <t xml:space="preserve">composite credit appraisal </t>
    <phoneticPr fontId="1" type="noConversion"/>
  </si>
  <si>
    <t>Stong</t>
    <phoneticPr fontId="1" type="noConversion"/>
  </si>
  <si>
    <t>good</t>
    <phoneticPr fontId="1" type="noConversion"/>
  </si>
  <si>
    <t>Fair</t>
    <phoneticPr fontId="1" type="noConversion"/>
  </si>
  <si>
    <t xml:space="preserve">undetermined </t>
    <phoneticPr fontId="1" type="noConversion"/>
  </si>
  <si>
    <t>D&amp;B Rating</t>
  </si>
  <si>
    <t>3AA1</t>
  </si>
  <si>
    <t>3AA2</t>
  </si>
  <si>
    <t>4A-</t>
  </si>
  <si>
    <t>3AA-</t>
  </si>
  <si>
    <t>EE-</t>
  </si>
  <si>
    <t>3A3</t>
  </si>
  <si>
    <t>5A1</t>
  </si>
  <si>
    <t>4AA3</t>
  </si>
  <si>
    <t>3AA3</t>
  </si>
  <si>
    <t>2A-</t>
  </si>
  <si>
    <t>4AA2</t>
  </si>
  <si>
    <t>1AA-</t>
  </si>
  <si>
    <t>5A2</t>
  </si>
  <si>
    <t>3A2</t>
  </si>
  <si>
    <t>EE3</t>
  </si>
  <si>
    <t>1AA3</t>
  </si>
  <si>
    <t>2AA2</t>
  </si>
  <si>
    <t>E3</t>
  </si>
  <si>
    <t>N4</t>
  </si>
  <si>
    <t>CC3</t>
  </si>
  <si>
    <t>4A3</t>
  </si>
  <si>
    <t>4A1</t>
  </si>
  <si>
    <t>AA-</t>
  </si>
  <si>
    <t>5AA2</t>
  </si>
  <si>
    <t>O3</t>
  </si>
  <si>
    <t>5A-</t>
  </si>
  <si>
    <t>CC2</t>
  </si>
  <si>
    <t>CC-</t>
  </si>
  <si>
    <t>1A3</t>
  </si>
  <si>
    <t>A3</t>
  </si>
  <si>
    <t>EE2</t>
  </si>
  <si>
    <t>B2</t>
  </si>
  <si>
    <t>B3</t>
  </si>
  <si>
    <t>1AA2</t>
  </si>
  <si>
    <t>AA2</t>
  </si>
  <si>
    <t>N-</t>
  </si>
  <si>
    <t>5A3</t>
  </si>
  <si>
    <t>C3</t>
  </si>
  <si>
    <t>5AA-</t>
  </si>
  <si>
    <t>BB3</t>
  </si>
  <si>
    <t>4AA-</t>
  </si>
  <si>
    <t>AA3</t>
  </si>
  <si>
    <t>2AA-</t>
  </si>
  <si>
    <t>1A2</t>
  </si>
  <si>
    <t>0-</t>
  </si>
  <si>
    <t>DD3</t>
  </si>
  <si>
    <t>3A1</t>
  </si>
  <si>
    <t xml:space="preserve">EMMA Score </t>
    <phoneticPr fontId="1" type="noConversion"/>
  </si>
  <si>
    <t xml:space="preserve">Composite Credit Appraisal </t>
    <phoneticPr fontId="1" type="noConversion"/>
  </si>
  <si>
    <t xml:space="preserve">Customer Risk Appraisal </t>
    <phoneticPr fontId="1" type="noConversion"/>
  </si>
  <si>
    <t xml:space="preserve">Score </t>
    <phoneticPr fontId="1" type="noConversion"/>
  </si>
  <si>
    <t>score</t>
    <phoneticPr fontId="1" type="noConversion"/>
  </si>
  <si>
    <t xml:space="preserve">Registered capital </t>
    <phoneticPr fontId="1" type="noConversion"/>
  </si>
  <si>
    <t>85,000,000 - 449,000,000</t>
    <phoneticPr fontId="1" type="noConversion"/>
  </si>
  <si>
    <t xml:space="preserve">Score </t>
    <phoneticPr fontId="1" type="noConversion"/>
  </si>
  <si>
    <t>Weight</t>
    <phoneticPr fontId="1" type="noConversion"/>
  </si>
  <si>
    <t xml:space="preserve">GLP Existing customer </t>
    <phoneticPr fontId="1" type="noConversion"/>
  </si>
  <si>
    <t xml:space="preserve">weight </t>
    <phoneticPr fontId="1" type="noConversion"/>
  </si>
  <si>
    <t xml:space="preserve">Existing customer </t>
    <phoneticPr fontId="1" type="noConversion"/>
  </si>
  <si>
    <t xml:space="preserve">GLP existing customer with delinquence histroy, but now with no overdue </t>
    <phoneticPr fontId="1" type="noConversion"/>
  </si>
  <si>
    <t xml:space="preserve">GLP existing customer with good rental payment record </t>
    <phoneticPr fontId="1" type="noConversion"/>
  </si>
  <si>
    <t xml:space="preserve">no GLP customer </t>
    <phoneticPr fontId="1" type="noConversion"/>
  </si>
  <si>
    <t xml:space="preserve">GLP existing customer with however acceptable overdue record </t>
    <phoneticPr fontId="1" type="noConversion"/>
  </si>
  <si>
    <t xml:space="preserve">Score </t>
    <phoneticPr fontId="1" type="noConversion"/>
  </si>
  <si>
    <t>&gt;=450,0000,000</t>
    <phoneticPr fontId="1" type="noConversion"/>
  </si>
  <si>
    <t xml:space="preserve">GLP existing customer with good rental payment record </t>
  </si>
  <si>
    <t xml:space="preserve">Customer rating </t>
    <phoneticPr fontId="14" type="noConversion"/>
  </si>
  <si>
    <t xml:space="preserve">Vendor support </t>
    <phoneticPr fontId="14" type="noConversion"/>
  </si>
  <si>
    <t>score</t>
    <phoneticPr fontId="14" type="noConversion"/>
  </si>
  <si>
    <t>"cooperative partner with repossessing guarantee"</t>
    <phoneticPr fontId="14" type="noConversion"/>
  </si>
  <si>
    <t xml:space="preserve">"Coopearative partner with remarketing support"  </t>
    <phoneticPr fontId="14" type="noConversion"/>
  </si>
  <si>
    <t>"cooperative partner with Other support accepted by GLP Leasing company"</t>
    <phoneticPr fontId="14" type="noConversion"/>
  </si>
  <si>
    <t>"coopearative partner with GLP, but without any material support"</t>
    <phoneticPr fontId="14" type="noConversion"/>
  </si>
  <si>
    <t>"No coopearation record with GLP, but  having good market reputation"</t>
    <phoneticPr fontId="14" type="noConversion"/>
  </si>
  <si>
    <t xml:space="preserve">"No cooperation record with GLP, and holding mediocre reputation" </t>
    <phoneticPr fontId="14" type="noConversion"/>
  </si>
  <si>
    <t xml:space="preserve">Leverage ratio </t>
    <phoneticPr fontId="20" type="noConversion"/>
  </si>
  <si>
    <t xml:space="preserve">Assets location </t>
    <phoneticPr fontId="20" type="noConversion"/>
  </si>
  <si>
    <t xml:space="preserve">Customer rating </t>
    <phoneticPr fontId="20" type="noConversion"/>
  </si>
  <si>
    <t xml:space="preserve">Vendor support </t>
    <phoneticPr fontId="20" type="noConversion"/>
  </si>
  <si>
    <t>Weight</t>
    <phoneticPr fontId="20" type="noConversion"/>
  </si>
  <si>
    <t>Zhuhai</t>
    <phoneticPr fontId="20" type="noConversion"/>
  </si>
  <si>
    <t>Zhongshan</t>
    <phoneticPr fontId="20" type="noConversion"/>
  </si>
  <si>
    <t>Ningbo</t>
    <phoneticPr fontId="20" type="noConversion"/>
  </si>
  <si>
    <t xml:space="preserve">GLPm tier-2- </t>
    <phoneticPr fontId="20" type="noConversion"/>
  </si>
  <si>
    <t>Jiaxing</t>
    <phoneticPr fontId="20" type="noConversion"/>
  </si>
  <si>
    <t>Kunming</t>
    <phoneticPr fontId="20" type="noConversion"/>
  </si>
  <si>
    <t>Changsha</t>
    <phoneticPr fontId="20" type="noConversion"/>
  </si>
  <si>
    <t>Nanning</t>
    <phoneticPr fontId="20" type="noConversion"/>
  </si>
  <si>
    <t>Ximen</t>
    <phoneticPr fontId="20" type="noConversion"/>
  </si>
  <si>
    <t>Nanchang</t>
    <phoneticPr fontId="20" type="noConversion"/>
  </si>
  <si>
    <t>Xi'An</t>
    <phoneticPr fontId="20" type="noConversion"/>
  </si>
  <si>
    <t>Hefei</t>
    <phoneticPr fontId="20" type="noConversion"/>
  </si>
  <si>
    <t>Wuhan</t>
    <phoneticPr fontId="20" type="noConversion"/>
  </si>
  <si>
    <t>Zhengzhou</t>
    <phoneticPr fontId="20" type="noConversion"/>
  </si>
  <si>
    <t>Jinan</t>
    <phoneticPr fontId="20" type="noConversion"/>
  </si>
  <si>
    <t xml:space="preserve">Qingdao </t>
    <phoneticPr fontId="20" type="noConversion"/>
  </si>
  <si>
    <t>Chongqing</t>
    <phoneticPr fontId="20" type="noConversion"/>
  </si>
  <si>
    <t>Dalian</t>
    <phoneticPr fontId="20" type="noConversion"/>
  </si>
  <si>
    <t>Shenyang</t>
    <phoneticPr fontId="20" type="noConversion"/>
  </si>
  <si>
    <t>Hangzhou</t>
    <phoneticPr fontId="20" type="noConversion"/>
  </si>
  <si>
    <t>GLP tier-2+</t>
    <phoneticPr fontId="20" type="noConversion"/>
  </si>
  <si>
    <t>Nanjing</t>
    <phoneticPr fontId="20" type="noConversion"/>
  </si>
  <si>
    <t>9</t>
    <phoneticPr fontId="20" type="noConversion"/>
  </si>
  <si>
    <t>Shenzheng</t>
    <phoneticPr fontId="20" type="noConversion"/>
  </si>
  <si>
    <t>** Based on incremental leverage at the project level</t>
    <phoneticPr fontId="20" type="noConversion"/>
  </si>
  <si>
    <t>Suzhou</t>
    <phoneticPr fontId="20" type="noConversion"/>
  </si>
  <si>
    <t>* Deals with strategic customers agreed by EC will be regarded as special cases.</t>
    <phoneticPr fontId="20" type="noConversion"/>
  </si>
  <si>
    <t>Tianjin</t>
    <phoneticPr fontId="20" type="noConversion"/>
  </si>
  <si>
    <t>Score 5: Leverage ratio &gt;=85%</t>
    <phoneticPr fontId="20" type="noConversion"/>
  </si>
  <si>
    <t>10</t>
    <phoneticPr fontId="20" type="noConversion"/>
  </si>
  <si>
    <t>Guangzhou</t>
    <phoneticPr fontId="20" type="noConversion"/>
  </si>
  <si>
    <t>Score 4: Leverage ratio &gt;=80%, &lt;85%</t>
    <phoneticPr fontId="20" type="noConversion"/>
  </si>
  <si>
    <t>Shanghai</t>
    <phoneticPr fontId="20" type="noConversion"/>
  </si>
  <si>
    <t>Score 3: Leverage ratio &gt;=75%, &lt;80%</t>
    <phoneticPr fontId="20" type="noConversion"/>
  </si>
  <si>
    <t>Beijing</t>
    <phoneticPr fontId="20" type="noConversion"/>
  </si>
  <si>
    <t>Score 2: Leverage ratio &gt;=65%, &lt;75%</t>
    <phoneticPr fontId="20" type="noConversion"/>
  </si>
  <si>
    <t>Score 1: Leverage ratio &gt;=50%, &lt;65%</t>
    <phoneticPr fontId="20" type="noConversion"/>
  </si>
  <si>
    <t>Score 0: Leverage ratio &lt;60%</t>
    <phoneticPr fontId="20" type="noConversion"/>
  </si>
  <si>
    <t>Score from 0-5</t>
    <phoneticPr fontId="20" type="noConversion"/>
  </si>
  <si>
    <t>5.  Leverage Ratio**</t>
    <phoneticPr fontId="20" type="noConversion"/>
  </si>
  <si>
    <t>1</t>
    <phoneticPr fontId="20" type="noConversion"/>
  </si>
  <si>
    <t>Others</t>
    <phoneticPr fontId="20" type="noConversion"/>
  </si>
  <si>
    <t>Score 5: Others</t>
    <phoneticPr fontId="20" type="noConversion"/>
  </si>
  <si>
    <t>3</t>
    <phoneticPr fontId="20" type="noConversion"/>
  </si>
  <si>
    <r>
      <t>Non GLP faciliteis in 2-tier</t>
    </r>
    <r>
      <rPr>
        <vertAlign val="superscript"/>
        <sz val="12"/>
        <rFont val="Arial"/>
        <family val="2"/>
      </rPr>
      <t xml:space="preserve"> -</t>
    </r>
    <r>
      <rPr>
        <sz val="12"/>
        <rFont val="Arial"/>
        <family val="2"/>
      </rPr>
      <t xml:space="preserve"> logistics hubs</t>
    </r>
    <phoneticPr fontId="20" type="noConversion"/>
  </si>
  <si>
    <t>Score 4: Non-GLP facilities in 2-tier logistics hubs (i.e. Nanjing, Wuxi, Hangzhou, Jiaxing, Ningbo, Qingdao, Shenyang, Dalian, Zhongshan, Zhuhai, Chengdu, Chongqing, Jinan, Zhengzhou, Wuhan, Hefei, Xi'an, Xiamen, Nanning, Changsha, Nanchang, Kunming)</t>
    <phoneticPr fontId="20" type="noConversion"/>
  </si>
  <si>
    <t>4</t>
    <phoneticPr fontId="20" type="noConversion"/>
  </si>
  <si>
    <r>
      <t>Non GLP faciliteis in 2-tier</t>
    </r>
    <r>
      <rPr>
        <vertAlign val="superscript"/>
        <sz val="12"/>
        <rFont val="Arial"/>
        <family val="2"/>
      </rPr>
      <t>+</t>
    </r>
    <r>
      <rPr>
        <sz val="12"/>
        <rFont val="Arial"/>
        <family val="2"/>
      </rPr>
      <t xml:space="preserve"> logistics hubs</t>
    </r>
    <phoneticPr fontId="20" type="noConversion"/>
  </si>
  <si>
    <t>5</t>
    <phoneticPr fontId="20" type="noConversion"/>
  </si>
  <si>
    <r>
      <t>Non GLP faciliteis in 1-tier</t>
    </r>
    <r>
      <rPr>
        <vertAlign val="superscript"/>
        <sz val="12"/>
        <rFont val="Arial"/>
        <family val="2"/>
      </rPr>
      <t xml:space="preserve"> -</t>
    </r>
    <r>
      <rPr>
        <sz val="12"/>
        <rFont val="Arial"/>
        <family val="2"/>
      </rPr>
      <t xml:space="preserve"> logistics hubs</t>
    </r>
    <phoneticPr fontId="20" type="noConversion"/>
  </si>
  <si>
    <t>Score 3: Non-GLP facilities in 1-tier logistics hubs (i.e. Shanghai, Guangzhou &amp; Foshan, Beijing, Tianjin, Suzhou, Shenzhen)</t>
    <phoneticPr fontId="20" type="noConversion"/>
  </si>
  <si>
    <t>6</t>
    <phoneticPr fontId="20" type="noConversion"/>
  </si>
  <si>
    <r>
      <t xml:space="preserve">Non GLP faciliteis in 1-tier </t>
    </r>
    <r>
      <rPr>
        <vertAlign val="superscript"/>
        <sz val="12"/>
        <rFont val="Arial"/>
        <family val="2"/>
      </rPr>
      <t>+</t>
    </r>
    <r>
      <rPr>
        <sz val="12"/>
        <rFont val="Arial"/>
        <family val="2"/>
      </rPr>
      <t xml:space="preserve"> logistics hubs</t>
    </r>
    <phoneticPr fontId="20" type="noConversion"/>
  </si>
  <si>
    <t>7</t>
    <phoneticPr fontId="20" type="noConversion"/>
  </si>
  <si>
    <r>
      <t>GLP-facilities in 2-tier</t>
    </r>
    <r>
      <rPr>
        <vertAlign val="superscript"/>
        <sz val="12"/>
        <rFont val="Arial"/>
        <family val="2"/>
      </rPr>
      <t xml:space="preserve"> -</t>
    </r>
    <r>
      <rPr>
        <sz val="12"/>
        <rFont val="Arial"/>
        <family val="2"/>
      </rPr>
      <t xml:space="preserve"> logistics hubs</t>
    </r>
    <phoneticPr fontId="20" type="noConversion"/>
  </si>
  <si>
    <t>8</t>
    <phoneticPr fontId="20" type="noConversion"/>
  </si>
  <si>
    <r>
      <t xml:space="preserve">GLP facilities in 2-tier </t>
    </r>
    <r>
      <rPr>
        <vertAlign val="superscript"/>
        <sz val="12"/>
        <rFont val="Arial"/>
        <family val="2"/>
      </rPr>
      <t>+</t>
    </r>
    <r>
      <rPr>
        <sz val="12"/>
        <rFont val="Arial"/>
        <family val="2"/>
      </rPr>
      <t xml:space="preserve"> logistics hubs</t>
    </r>
    <phoneticPr fontId="20" type="noConversion"/>
  </si>
  <si>
    <t>Score 2: GLP facilities in 2-tier logistics hubs (i.e. Nanjing, Wuxi, Hangzhou, Jiaxing, Ningbo, Qingdao, Shenyang, Dalian, Zhongshan, Zhuhai, Chengdu, Chongqing, Jinan, Zhengzhou, Wuhan, Hefei, Xi'an, Xiamen, Nanning, Changsha, Nanchang, Kunming)</t>
    <phoneticPr fontId="20" type="noConversion"/>
  </si>
  <si>
    <r>
      <t>GLP facilities in 1-tier</t>
    </r>
    <r>
      <rPr>
        <vertAlign val="superscript"/>
        <sz val="12"/>
        <rFont val="Arial"/>
        <family val="2"/>
      </rPr>
      <t xml:space="preserve"> _</t>
    </r>
    <r>
      <rPr>
        <sz val="12"/>
        <rFont val="Arial"/>
        <family val="2"/>
      </rPr>
      <t xml:space="preserve"> logstics hubs</t>
    </r>
    <phoneticPr fontId="20" type="noConversion"/>
  </si>
  <si>
    <t>GLP facilities in 1-tier+logstics hubs</t>
    <phoneticPr fontId="20" type="noConversion"/>
  </si>
  <si>
    <t>Score 1: GLP facilities in 1-tier logistics hubs (i.e. Shanghai, Guangzhou &amp; Foshan, Beijing, Tianjin, Suzhou, Shenzhen)</t>
    <phoneticPr fontId="20" type="noConversion"/>
  </si>
  <si>
    <t>过程管理风险和变现风险</t>
    <phoneticPr fontId="20" type="noConversion"/>
  </si>
  <si>
    <t>GLP facilities in 1-tier+logstics hubs</t>
  </si>
  <si>
    <t>Score from 1-2</t>
    <phoneticPr fontId="20" type="noConversion"/>
  </si>
  <si>
    <t>3. Utilized Location</t>
    <phoneticPr fontId="20" type="noConversion"/>
  </si>
  <si>
    <t>Score</t>
    <phoneticPr fontId="20" type="noConversion"/>
  </si>
  <si>
    <t xml:space="preserve">Location of customer's facilities </t>
    <phoneticPr fontId="20" type="noConversion"/>
  </si>
  <si>
    <t>=lookup(E35,E39:E47,F38:F46)</t>
    <phoneticPr fontId="20" type="noConversion"/>
  </si>
  <si>
    <t>Non GLP faciliteis in 1-tier - logistics hubs</t>
  </si>
  <si>
    <t xml:space="preserve">No cooperation record with GLP, and holding mediocre reputation </t>
    <phoneticPr fontId="20" type="noConversion"/>
  </si>
  <si>
    <t>No coopearation record with GLP, but  having good market reputation</t>
    <phoneticPr fontId="20" type="noConversion"/>
  </si>
  <si>
    <t>coopearative partner with GLP, but without any material support</t>
    <phoneticPr fontId="20" type="noConversion"/>
  </si>
  <si>
    <t>cooperative partner with Other support accepted by GLP Leasing company</t>
    <phoneticPr fontId="20" type="noConversion"/>
  </si>
  <si>
    <r>
      <t xml:space="preserve">Score 3: </t>
    </r>
    <r>
      <rPr>
        <sz val="12"/>
        <rFont val="宋体"/>
        <family val="3"/>
        <charset val="134"/>
      </rPr>
      <t>与</t>
    </r>
    <r>
      <rPr>
        <sz val="12"/>
        <rFont val="Arial"/>
        <family val="2"/>
      </rPr>
      <t>GLP</t>
    </r>
    <r>
      <rPr>
        <sz val="12"/>
        <rFont val="宋体"/>
        <family val="3"/>
        <charset val="134"/>
      </rPr>
      <t>无合作</t>
    </r>
    <phoneticPr fontId="20" type="noConversion"/>
  </si>
  <si>
    <t xml:space="preserve">Coopearative partner with remarketing support  </t>
    <phoneticPr fontId="20"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</si>
  <si>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20" type="noConversion"/>
  </si>
  <si>
    <t>变现风险？</t>
    <phoneticPr fontId="20" type="noConversion"/>
  </si>
  <si>
    <t>Cooperative partner with loss share (loss pool) guarantee</t>
    <phoneticPr fontId="20"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</si>
  <si>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20" type="noConversion"/>
  </si>
  <si>
    <t xml:space="preserve">cooperative partner with repossessing guarantee </t>
    <phoneticPr fontId="20"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</si>
  <si>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20" type="noConversion"/>
  </si>
  <si>
    <t>供应商供货风险</t>
    <phoneticPr fontId="20" type="noConversion"/>
  </si>
  <si>
    <t>score</t>
    <phoneticPr fontId="20" type="noConversion"/>
  </si>
  <si>
    <t xml:space="preserve">score </t>
    <phoneticPr fontId="20" type="noConversion"/>
  </si>
  <si>
    <t>form of support</t>
    <phoneticPr fontId="20" type="noConversion"/>
  </si>
  <si>
    <t xml:space="preserve">Score from </t>
    <phoneticPr fontId="20" type="noConversion"/>
  </si>
  <si>
    <t xml:space="preserve">2.  Vendor Evaluation </t>
    <phoneticPr fontId="20" type="noConversion"/>
  </si>
  <si>
    <t>v</t>
    <phoneticPr fontId="20" type="noConversion"/>
  </si>
  <si>
    <t xml:space="preserve">Total liability/Total Assets </t>
    <phoneticPr fontId="20" type="noConversion"/>
  </si>
  <si>
    <t>6. l/t payment capacity</t>
    <phoneticPr fontId="20" type="noConversion"/>
  </si>
  <si>
    <t xml:space="preserve">(2). Cash flow from operating business/current liability </t>
    <phoneticPr fontId="20" type="noConversion"/>
  </si>
  <si>
    <t>(1). Quick ratio</t>
    <phoneticPr fontId="20" type="noConversion"/>
  </si>
  <si>
    <t>5. S/t payment capacity</t>
    <phoneticPr fontId="20" type="noConversion"/>
  </si>
  <si>
    <t>(2). Net profit growth</t>
    <phoneticPr fontId="20" type="noConversion"/>
  </si>
  <si>
    <t xml:space="preserve">(1). Gross income </t>
    <phoneticPr fontId="20" type="noConversion"/>
  </si>
  <si>
    <t>4. Growth in percentage</t>
    <phoneticPr fontId="20" type="noConversion"/>
  </si>
  <si>
    <t xml:space="preserve">Net worth/Total Assets </t>
    <phoneticPr fontId="20" type="noConversion"/>
  </si>
  <si>
    <t>3. Solvency in percentage</t>
    <phoneticPr fontId="20" type="noConversion"/>
  </si>
  <si>
    <t>9. How would the management quality be assessted?</t>
    <phoneticPr fontId="20" type="noConversion"/>
  </si>
  <si>
    <t>(4). Asset Turnover (cost of sales/Total assets )</t>
    <phoneticPr fontId="20" type="noConversion"/>
  </si>
  <si>
    <t>8. How would the volatility of the customers' core industtry segement?</t>
    <phoneticPr fontId="20" type="noConversion"/>
  </si>
  <si>
    <t>(3). Days Payables</t>
    <phoneticPr fontId="20" type="noConversion"/>
  </si>
  <si>
    <t>7. Relative to its competitors, how would the customer's performance be described in its industry segement ?</t>
    <phoneticPr fontId="20" type="noConversion"/>
  </si>
  <si>
    <t>(2). Days Receivable</t>
    <phoneticPr fontId="20" type="noConversion"/>
  </si>
  <si>
    <t>6. How will the industry outlook affect the company?</t>
    <phoneticPr fontId="20" type="noConversion"/>
  </si>
  <si>
    <t>(1). Days Inventories</t>
    <phoneticPr fontId="20" type="noConversion"/>
  </si>
  <si>
    <t>5. Business concentraion in customers and suppliers</t>
    <phoneticPr fontId="20" type="noConversion"/>
  </si>
  <si>
    <t>2. Liquidity ratio</t>
    <phoneticPr fontId="20" type="noConversion"/>
  </si>
  <si>
    <t>4. Any negative information/record in PBOC credit report/ PBOC Leasing registeration system or Litigatin records?</t>
    <phoneticPr fontId="20" type="noConversion"/>
  </si>
  <si>
    <t>(3). Rental coverage (EDITDA/Rental (including warehouse + equipment)</t>
    <phoneticPr fontId="20" type="noConversion"/>
  </si>
  <si>
    <t>3. An existing customer with GLP? How long is the relationship? And how is the rental payment pattern in the past time?</t>
    <phoneticPr fontId="20" type="noConversion"/>
  </si>
  <si>
    <t>(2). Interest coverage (EBIT/Interest)</t>
    <phoneticPr fontId="20" type="noConversion"/>
  </si>
  <si>
    <t>2. Year of Estabilishment</t>
    <phoneticPr fontId="20" type="noConversion"/>
  </si>
  <si>
    <t xml:space="preserve">(1). ROE </t>
    <phoneticPr fontId="20" type="noConversion"/>
  </si>
  <si>
    <t>1. No. of staff</t>
    <phoneticPr fontId="20" type="noConversion"/>
  </si>
  <si>
    <t xml:space="preserve">1. Performance ratio </t>
    <phoneticPr fontId="20" type="noConversion"/>
  </si>
  <si>
    <r>
      <t>客户基础评级评级（GLP现有客户及其他正常评估项目），可考虑分为</t>
    </r>
    <r>
      <rPr>
        <sz val="12"/>
        <rFont val="宋体"/>
        <family val="3"/>
        <charset val="134"/>
      </rPr>
      <t>5-6级别</t>
    </r>
    <phoneticPr fontId="20" type="noConversion"/>
  </si>
  <si>
    <t>还款风险</t>
    <phoneticPr fontId="20" type="noConversion"/>
  </si>
  <si>
    <t xml:space="preserve">non-finance factor </t>
    <phoneticPr fontId="20" type="noConversion"/>
  </si>
  <si>
    <t xml:space="preserve">Finance factor </t>
    <phoneticPr fontId="20" type="noConversion"/>
  </si>
  <si>
    <t>1.  Customer Evaluation</t>
    <phoneticPr fontId="20" type="noConversion"/>
  </si>
  <si>
    <t>Rating Score</t>
    <phoneticPr fontId="20" type="noConversion"/>
  </si>
  <si>
    <t>China Score Range and Description</t>
    <phoneticPr fontId="20" type="noConversion"/>
  </si>
  <si>
    <t>Criteria*</t>
    <phoneticPr fontId="20" type="noConversion"/>
  </si>
  <si>
    <t xml:space="preserve">Specific deal Risk Premium </t>
    <phoneticPr fontId="20" type="noConversion"/>
  </si>
  <si>
    <t xml:space="preserve">Leverage ratio </t>
    <phoneticPr fontId="14" type="noConversion"/>
  </si>
  <si>
    <t xml:space="preserve">Assets location </t>
    <phoneticPr fontId="14" type="noConversion"/>
  </si>
  <si>
    <t>Weight</t>
    <phoneticPr fontId="14" type="noConversion"/>
  </si>
  <si>
    <t>Zhuhai</t>
    <phoneticPr fontId="14" type="noConversion"/>
  </si>
  <si>
    <t>Zhongshan</t>
    <phoneticPr fontId="14" type="noConversion"/>
  </si>
  <si>
    <t>Ningbo</t>
    <phoneticPr fontId="14" type="noConversion"/>
  </si>
  <si>
    <t xml:space="preserve">GLPm tier-2- </t>
    <phoneticPr fontId="14" type="noConversion"/>
  </si>
  <si>
    <t>Jiaxing</t>
    <phoneticPr fontId="14" type="noConversion"/>
  </si>
  <si>
    <t>Kunming</t>
    <phoneticPr fontId="14" type="noConversion"/>
  </si>
  <si>
    <t>Changsha</t>
    <phoneticPr fontId="14" type="noConversion"/>
  </si>
  <si>
    <t>Nanning</t>
    <phoneticPr fontId="14" type="noConversion"/>
  </si>
  <si>
    <t>Ximen</t>
    <phoneticPr fontId="14" type="noConversion"/>
  </si>
  <si>
    <t>Nanchang</t>
    <phoneticPr fontId="14" type="noConversion"/>
  </si>
  <si>
    <t>Xi'An</t>
    <phoneticPr fontId="14" type="noConversion"/>
  </si>
  <si>
    <t>Hefei</t>
    <phoneticPr fontId="14" type="noConversion"/>
  </si>
  <si>
    <t>Wuhan</t>
    <phoneticPr fontId="14" type="noConversion"/>
  </si>
  <si>
    <t>Zhengzhou</t>
    <phoneticPr fontId="14" type="noConversion"/>
  </si>
  <si>
    <t>Jinan</t>
    <phoneticPr fontId="14" type="noConversion"/>
  </si>
  <si>
    <t xml:space="preserve">Qingdao </t>
    <phoneticPr fontId="14" type="noConversion"/>
  </si>
  <si>
    <t>Chongqing</t>
    <phoneticPr fontId="14" type="noConversion"/>
  </si>
  <si>
    <t>Dalian</t>
    <phoneticPr fontId="14" type="noConversion"/>
  </si>
  <si>
    <t>Shenyang</t>
    <phoneticPr fontId="14" type="noConversion"/>
  </si>
  <si>
    <t>Hangzhou</t>
    <phoneticPr fontId="14" type="noConversion"/>
  </si>
  <si>
    <t>GLP tier-2+</t>
    <phoneticPr fontId="14" type="noConversion"/>
  </si>
  <si>
    <t>Nanjing</t>
    <phoneticPr fontId="14" type="noConversion"/>
  </si>
  <si>
    <t>9</t>
    <phoneticPr fontId="14" type="noConversion"/>
  </si>
  <si>
    <t>Shenzheng</t>
    <phoneticPr fontId="14" type="noConversion"/>
  </si>
  <si>
    <t>** Based on incremental leverage at the project level</t>
    <phoneticPr fontId="14" type="noConversion"/>
  </si>
  <si>
    <t>Suzhou</t>
    <phoneticPr fontId="14" type="noConversion"/>
  </si>
  <si>
    <t>GLP tier-1 -</t>
    <phoneticPr fontId="14" type="noConversion"/>
  </si>
  <si>
    <t>* Deals with strategic customers agreed by EC will be regarded as special cases.</t>
    <phoneticPr fontId="14" type="noConversion"/>
  </si>
  <si>
    <t>Tianjin</t>
    <phoneticPr fontId="14" type="noConversion"/>
  </si>
  <si>
    <t>Score 5: Leverage ratio &gt;=85%</t>
    <phoneticPr fontId="14" type="noConversion"/>
  </si>
  <si>
    <t>10</t>
    <phoneticPr fontId="14" type="noConversion"/>
  </si>
  <si>
    <t>Guangzhou</t>
    <phoneticPr fontId="14" type="noConversion"/>
  </si>
  <si>
    <t>Score 4: Leverage ratio &gt;=80%, &lt;85%</t>
    <phoneticPr fontId="14" type="noConversion"/>
  </si>
  <si>
    <t>Shanghai</t>
    <phoneticPr fontId="14" type="noConversion"/>
  </si>
  <si>
    <t>GLP tier-1 +</t>
    <phoneticPr fontId="14" type="noConversion"/>
  </si>
  <si>
    <t>Score 3: Leverage ratio &gt;=75%, &lt;80%</t>
    <phoneticPr fontId="14" type="noConversion"/>
  </si>
  <si>
    <t>Beijing</t>
    <phoneticPr fontId="14" type="noConversion"/>
  </si>
  <si>
    <t>Score 2: Leverage ratio &gt;=65%, &lt;75%</t>
    <phoneticPr fontId="14" type="noConversion"/>
  </si>
  <si>
    <t>Score 1: Leverage ratio &gt;=50%, &lt;65%</t>
    <phoneticPr fontId="14" type="noConversion"/>
  </si>
  <si>
    <t>Score 0: Leverage ratio &lt;60%</t>
    <phoneticPr fontId="14" type="noConversion"/>
  </si>
  <si>
    <t>Score from 0-5</t>
    <phoneticPr fontId="14" type="noConversion"/>
  </si>
  <si>
    <t>5.  Leverage Ratio**</t>
    <phoneticPr fontId="14" type="noConversion"/>
  </si>
  <si>
    <t>1</t>
    <phoneticPr fontId="14" type="noConversion"/>
  </si>
  <si>
    <t>Others</t>
    <phoneticPr fontId="14" type="noConversion"/>
  </si>
  <si>
    <t>9</t>
  </si>
  <si>
    <t>Score 5: Others</t>
    <phoneticPr fontId="14" type="noConversion"/>
  </si>
  <si>
    <t>3</t>
    <phoneticPr fontId="14" type="noConversion"/>
  </si>
  <si>
    <r>
      <t>Non GLP faciliteis in 2 tier</t>
    </r>
    <r>
      <rPr>
        <vertAlign val="superscript"/>
        <sz val="12"/>
        <rFont val="Arial"/>
        <family val="2"/>
      </rPr>
      <t xml:space="preserve"> -</t>
    </r>
    <r>
      <rPr>
        <sz val="12"/>
        <rFont val="Arial"/>
        <family val="2"/>
      </rPr>
      <t xml:space="preserve"> logistics hubs</t>
    </r>
    <phoneticPr fontId="14" type="noConversion"/>
  </si>
  <si>
    <t>8</t>
  </si>
  <si>
    <t>Score 4: Non-GLP facilities in 2-tier logistics hubs (i.e. Nanjing, Wuxi, Hangzhou, Jiaxing, Ningbo, Qingdao, Shenyang, Dalian, Zhongshan, Zhuhai, Chengdu, Chongqing, Jinan, Zhengzhou, Wuhan, Hefei, Xi'an, Xiamen, Nanning, Changsha, Nanchang, Kunming)</t>
    <phoneticPr fontId="14" type="noConversion"/>
  </si>
  <si>
    <t>4</t>
    <phoneticPr fontId="14" type="noConversion"/>
  </si>
  <si>
    <r>
      <t>Non GLP faciliteis in 2 tier</t>
    </r>
    <r>
      <rPr>
        <vertAlign val="superscript"/>
        <sz val="12"/>
        <rFont val="Arial"/>
        <family val="2"/>
      </rPr>
      <t>+</t>
    </r>
    <r>
      <rPr>
        <sz val="12"/>
        <rFont val="Arial"/>
        <family val="2"/>
      </rPr>
      <t xml:space="preserve"> logistics hubs</t>
    </r>
    <phoneticPr fontId="14" type="noConversion"/>
  </si>
  <si>
    <t>7</t>
  </si>
  <si>
    <t>5</t>
    <phoneticPr fontId="14" type="noConversion"/>
  </si>
  <si>
    <r>
      <t>Non GLP faciliteis in 1 tier</t>
    </r>
    <r>
      <rPr>
        <vertAlign val="superscript"/>
        <sz val="12"/>
        <rFont val="Arial"/>
        <family val="2"/>
      </rPr>
      <t xml:space="preserve"> -</t>
    </r>
    <r>
      <rPr>
        <sz val="12"/>
        <rFont val="Arial"/>
        <family val="2"/>
      </rPr>
      <t xml:space="preserve"> logistics hubs</t>
    </r>
    <phoneticPr fontId="14" type="noConversion"/>
  </si>
  <si>
    <t>6</t>
  </si>
  <si>
    <t>Score 3: Non-GLP facilities in 1-tier logistics hubs (i.e. Shanghai, Guangzhou &amp; Foshan, Beijing, Tianjin, Suzhou, Shenzhen)</t>
    <phoneticPr fontId="14" type="noConversion"/>
  </si>
  <si>
    <t>6</t>
    <phoneticPr fontId="14" type="noConversion"/>
  </si>
  <si>
    <r>
      <t xml:space="preserve">Non GLP faciliteis in 1 tier </t>
    </r>
    <r>
      <rPr>
        <vertAlign val="superscript"/>
        <sz val="12"/>
        <rFont val="Arial"/>
        <family val="2"/>
      </rPr>
      <t>+</t>
    </r>
    <r>
      <rPr>
        <sz val="12"/>
        <rFont val="Arial"/>
        <family val="2"/>
      </rPr>
      <t xml:space="preserve"> logistics hubs</t>
    </r>
    <phoneticPr fontId="14" type="noConversion"/>
  </si>
  <si>
    <t>5</t>
  </si>
  <si>
    <t>e</t>
    <phoneticPr fontId="14" type="noConversion"/>
  </si>
  <si>
    <t>7</t>
    <phoneticPr fontId="14" type="noConversion"/>
  </si>
  <si>
    <r>
      <t>GLP-facilities in 2 tier</t>
    </r>
    <r>
      <rPr>
        <vertAlign val="superscript"/>
        <sz val="12"/>
        <rFont val="Arial"/>
        <family val="2"/>
      </rPr>
      <t xml:space="preserve"> -</t>
    </r>
    <r>
      <rPr>
        <sz val="12"/>
        <rFont val="Arial"/>
        <family val="2"/>
      </rPr>
      <t xml:space="preserve"> logistics hubs</t>
    </r>
    <phoneticPr fontId="14" type="noConversion"/>
  </si>
  <si>
    <t>4</t>
  </si>
  <si>
    <t>d</t>
    <phoneticPr fontId="14" type="noConversion"/>
  </si>
  <si>
    <t>8</t>
    <phoneticPr fontId="14" type="noConversion"/>
  </si>
  <si>
    <r>
      <t xml:space="preserve">GLP facilities in 2 tier </t>
    </r>
    <r>
      <rPr>
        <vertAlign val="superscript"/>
        <sz val="12"/>
        <rFont val="Arial"/>
        <family val="2"/>
      </rPr>
      <t>+</t>
    </r>
    <r>
      <rPr>
        <sz val="12"/>
        <rFont val="Arial"/>
        <family val="2"/>
      </rPr>
      <t xml:space="preserve"> logistics hubs</t>
    </r>
    <phoneticPr fontId="14" type="noConversion"/>
  </si>
  <si>
    <t>3</t>
  </si>
  <si>
    <t>Score 2: GLP facilities in 2-tier logistics hubs (i.e. Nanjing, Wuxi, Hangzhou, Jiaxing, Ningbo, Qingdao, Shenyang, Dalian, Zhongshan, Zhuhai, Chengdu, Chongqing, Jinan, Zhengzhou, Wuhan, Hefei, Xi'an, Xiamen, Nanning, Changsha, Nanchang, Kunming)</t>
    <phoneticPr fontId="14" type="noConversion"/>
  </si>
  <si>
    <t>c</t>
    <phoneticPr fontId="14" type="noConversion"/>
  </si>
  <si>
    <r>
      <t>GLP facilities in 1 tier</t>
    </r>
    <r>
      <rPr>
        <vertAlign val="superscript"/>
        <sz val="12"/>
        <rFont val="Arial"/>
        <family val="2"/>
      </rPr>
      <t xml:space="preserve"> -</t>
    </r>
    <r>
      <rPr>
        <sz val="12"/>
        <rFont val="Arial"/>
        <family val="2"/>
      </rPr>
      <t xml:space="preserve"> logstics hubs</t>
    </r>
    <phoneticPr fontId="14" type="noConversion"/>
  </si>
  <si>
    <t>2</t>
  </si>
  <si>
    <t>b</t>
    <phoneticPr fontId="14" type="noConversion"/>
  </si>
  <si>
    <r>
      <t xml:space="preserve">GLP facilities in 1 tier </t>
    </r>
    <r>
      <rPr>
        <vertAlign val="superscript"/>
        <sz val="12"/>
        <rFont val="Arial"/>
        <family val="2"/>
      </rPr>
      <t xml:space="preserve">+ </t>
    </r>
    <r>
      <rPr>
        <sz val="12"/>
        <rFont val="Arial"/>
        <family val="2"/>
      </rPr>
      <t>logstics hubs</t>
    </r>
    <phoneticPr fontId="14" type="noConversion"/>
  </si>
  <si>
    <t>Score 1: GLP facilities in 1-tier logistics hubs (i.e. Shanghai, Guangzhou &amp; Foshan, Beijing, Tianjin, Suzhou, Shenzhen)</t>
    <phoneticPr fontId="14" type="noConversion"/>
  </si>
  <si>
    <t>过程管理风险和变现风险</t>
    <phoneticPr fontId="14" type="noConversion"/>
  </si>
  <si>
    <t>a</t>
    <phoneticPr fontId="14" type="noConversion"/>
  </si>
  <si>
    <t>Non GLP faciliteis in 2 tier - logistics hubs</t>
  </si>
  <si>
    <t>Score from 1-2</t>
    <phoneticPr fontId="14" type="noConversion"/>
  </si>
  <si>
    <t>3. Utilized Location</t>
    <phoneticPr fontId="14" type="noConversion"/>
  </si>
  <si>
    <t>a</t>
  </si>
  <si>
    <t>Score</t>
    <phoneticPr fontId="14" type="noConversion"/>
  </si>
  <si>
    <t xml:space="preserve">Location of customer's facilities </t>
    <phoneticPr fontId="14" type="noConversion"/>
  </si>
  <si>
    <t xml:space="preserve">Assets Location Assessment </t>
    <phoneticPr fontId="14" type="noConversion"/>
  </si>
  <si>
    <t>=lookup(E35,E39:E47,F38:F46)</t>
    <phoneticPr fontId="14" type="noConversion"/>
  </si>
  <si>
    <t xml:space="preserve">No cooperation record with GLP, and holding mediocre reputation </t>
    <phoneticPr fontId="14" type="noConversion"/>
  </si>
  <si>
    <t>No coopearation record with GLP, but  having good market reputation</t>
    <phoneticPr fontId="14" type="noConversion"/>
  </si>
  <si>
    <t>coopearative partner with GLP, but without any material support</t>
    <phoneticPr fontId="14" type="noConversion"/>
  </si>
  <si>
    <t>cooperative partner with Other support accepted by GLP Leasing company</t>
    <phoneticPr fontId="14" type="noConversion"/>
  </si>
  <si>
    <r>
      <t xml:space="preserve">Score 3: </t>
    </r>
    <r>
      <rPr>
        <sz val="12"/>
        <rFont val="宋体"/>
        <family val="3"/>
        <charset val="134"/>
      </rPr>
      <t>与</t>
    </r>
    <r>
      <rPr>
        <sz val="12"/>
        <rFont val="Arial"/>
        <family val="2"/>
      </rPr>
      <t>GLP</t>
    </r>
    <r>
      <rPr>
        <sz val="12"/>
        <rFont val="宋体"/>
        <family val="3"/>
        <charset val="134"/>
      </rPr>
      <t>无合作</t>
    </r>
    <phoneticPr fontId="14" type="noConversion"/>
  </si>
  <si>
    <t xml:space="preserve">Coopearative partner with remarketing support  </t>
    <phoneticPr fontId="14" type="noConversion"/>
  </si>
  <si>
    <r>
      <t xml:space="preserve">Score 2: </t>
    </r>
    <r>
      <rPr>
        <sz val="12"/>
        <rFont val="宋体"/>
        <family val="3"/>
        <charset val="134"/>
      </rPr>
      <t>与</t>
    </r>
    <r>
      <rPr>
        <sz val="12"/>
        <rFont val="Arial"/>
        <family val="2"/>
      </rPr>
      <t>GLP</t>
    </r>
    <r>
      <rPr>
        <sz val="12"/>
        <rFont val="宋体"/>
        <family val="3"/>
        <charset val="134"/>
      </rPr>
      <t>无</t>
    </r>
    <r>
      <rPr>
        <sz val="12"/>
        <rFont val="宋体"/>
        <family val="3"/>
        <charset val="134"/>
      </rPr>
      <t>合作，市场具有一定知名度</t>
    </r>
    <phoneticPr fontId="14" type="noConversion"/>
  </si>
  <si>
    <t>变现风险？</t>
    <phoneticPr fontId="14" type="noConversion"/>
  </si>
  <si>
    <t>Cooperative partner with loss share (loss pool) guarantee</t>
    <phoneticPr fontId="14" type="noConversion"/>
  </si>
  <si>
    <r>
      <t xml:space="preserve">Score 1: </t>
    </r>
    <r>
      <rPr>
        <sz val="12"/>
        <rFont val="宋体"/>
        <family val="3"/>
        <charset val="134"/>
      </rPr>
      <t>与</t>
    </r>
    <r>
      <rPr>
        <sz val="12"/>
        <rFont val="Arial"/>
        <family val="2"/>
      </rPr>
      <t>GLP</t>
    </r>
    <r>
      <rPr>
        <sz val="12"/>
        <rFont val="宋体"/>
        <family val="3"/>
        <charset val="134"/>
      </rPr>
      <t>有</t>
    </r>
    <r>
      <rPr>
        <sz val="12"/>
        <rFont val="宋体"/>
        <family val="3"/>
        <charset val="134"/>
      </rPr>
      <t>合作，无回购、代售等风险分担机制</t>
    </r>
    <phoneticPr fontId="14" type="noConversion"/>
  </si>
  <si>
    <t xml:space="preserve">cooperative partner with repossessing guarantee </t>
    <phoneticPr fontId="14" type="noConversion"/>
  </si>
  <si>
    <r>
      <t xml:space="preserve">Score 0: </t>
    </r>
    <r>
      <rPr>
        <sz val="12"/>
        <rFont val="宋体"/>
        <family val="3"/>
        <charset val="134"/>
      </rPr>
      <t>与</t>
    </r>
    <r>
      <rPr>
        <sz val="12"/>
        <rFont val="Arial"/>
        <family val="2"/>
      </rPr>
      <t>GLP</t>
    </r>
    <r>
      <rPr>
        <sz val="12"/>
        <rFont val="宋体"/>
        <family val="3"/>
        <charset val="134"/>
      </rPr>
      <t>有</t>
    </r>
    <r>
      <rPr>
        <sz val="12"/>
        <rFont val="宋体"/>
        <family val="3"/>
        <charset val="134"/>
      </rPr>
      <t>合作，有回购、代售等风险分担机制</t>
    </r>
    <phoneticPr fontId="14" type="noConversion"/>
  </si>
  <si>
    <t>供应商供货风险</t>
    <phoneticPr fontId="14" type="noConversion"/>
  </si>
  <si>
    <t>score</t>
    <phoneticPr fontId="14" type="noConversion"/>
  </si>
  <si>
    <t xml:space="preserve">score </t>
    <phoneticPr fontId="14" type="noConversion"/>
  </si>
  <si>
    <t>form of support</t>
    <phoneticPr fontId="14" type="noConversion"/>
  </si>
  <si>
    <t xml:space="preserve">Score from </t>
    <phoneticPr fontId="14" type="noConversion"/>
  </si>
  <si>
    <t xml:space="preserve">2.  Vendor Evaluation </t>
    <phoneticPr fontId="14" type="noConversion"/>
  </si>
  <si>
    <t>v</t>
    <phoneticPr fontId="14" type="noConversion"/>
  </si>
  <si>
    <t xml:space="preserve">Total liability/Total Assets </t>
    <phoneticPr fontId="14" type="noConversion"/>
  </si>
  <si>
    <t>6. l/t payment capacity</t>
    <phoneticPr fontId="14" type="noConversion"/>
  </si>
  <si>
    <t xml:space="preserve">(2). Cash flow from operating business/current liability </t>
    <phoneticPr fontId="14" type="noConversion"/>
  </si>
  <si>
    <t>(1). Quick ratio</t>
    <phoneticPr fontId="14" type="noConversion"/>
  </si>
  <si>
    <t>5. S/t payment capacity</t>
    <phoneticPr fontId="14" type="noConversion"/>
  </si>
  <si>
    <t>(2). Net profit growth</t>
    <phoneticPr fontId="14" type="noConversion"/>
  </si>
  <si>
    <t xml:space="preserve">(1). Gross income </t>
    <phoneticPr fontId="14" type="noConversion"/>
  </si>
  <si>
    <t>4. Growth in percentage</t>
    <phoneticPr fontId="14" type="noConversion"/>
  </si>
  <si>
    <t xml:space="preserve">Net worth/Total Assets </t>
    <phoneticPr fontId="14" type="noConversion"/>
  </si>
  <si>
    <t>3. Solvency in percentage</t>
    <phoneticPr fontId="14" type="noConversion"/>
  </si>
  <si>
    <t>9. How would the management quality be assessted?</t>
    <phoneticPr fontId="14" type="noConversion"/>
  </si>
  <si>
    <t>(4). Asset Turnover (cost of sales/Total assets )</t>
    <phoneticPr fontId="14" type="noConversion"/>
  </si>
  <si>
    <t>8. How would the volatility of the customers' core industtry segement?</t>
    <phoneticPr fontId="14" type="noConversion"/>
  </si>
  <si>
    <t>(3). Days Payables</t>
    <phoneticPr fontId="14" type="noConversion"/>
  </si>
  <si>
    <t>7. Relative to its competitors, how would the customer's performance be described in its industry segement ?</t>
    <phoneticPr fontId="14" type="noConversion"/>
  </si>
  <si>
    <t>(2). Days Receivable</t>
    <phoneticPr fontId="14" type="noConversion"/>
  </si>
  <si>
    <t>6. How will the industry outlook affect the company?</t>
    <phoneticPr fontId="14" type="noConversion"/>
  </si>
  <si>
    <t>(1). Days Inventories</t>
    <phoneticPr fontId="14" type="noConversion"/>
  </si>
  <si>
    <t>5. Business concentraion in customers and suppliers</t>
    <phoneticPr fontId="14" type="noConversion"/>
  </si>
  <si>
    <t>2. Liquidity ratio</t>
    <phoneticPr fontId="14" type="noConversion"/>
  </si>
  <si>
    <t>4. Any negative information/record in PBOC credit report/ PBOC Leasing registeration system or Litigatin records?</t>
    <phoneticPr fontId="14" type="noConversion"/>
  </si>
  <si>
    <t>(3). Rental coverage (EDITDA/Rental (including warehouse + equipment)</t>
    <phoneticPr fontId="14" type="noConversion"/>
  </si>
  <si>
    <t>3. An existing customer with GLP? How long is the relationship? And how is the rental payment pattern in the past time?</t>
    <phoneticPr fontId="14" type="noConversion"/>
  </si>
  <si>
    <t>(2). Interest coverage (EBIT/Interest)</t>
    <phoneticPr fontId="14" type="noConversion"/>
  </si>
  <si>
    <t>2. Year of Estabilishment</t>
    <phoneticPr fontId="14" type="noConversion"/>
  </si>
  <si>
    <t xml:space="preserve">(1). ROE </t>
    <phoneticPr fontId="14" type="noConversion"/>
  </si>
  <si>
    <t>1. No. of staff</t>
    <phoneticPr fontId="14" type="noConversion"/>
  </si>
  <si>
    <t xml:space="preserve">1. Performance ratio </t>
    <phoneticPr fontId="14" type="noConversion"/>
  </si>
  <si>
    <r>
      <t>客户基础评级评级（GLP现有客户及其他正常评估项目），可考虑分为</t>
    </r>
    <r>
      <rPr>
        <sz val="12"/>
        <rFont val="宋体"/>
        <family val="3"/>
        <charset val="134"/>
      </rPr>
      <t>5-6级别</t>
    </r>
    <phoneticPr fontId="14" type="noConversion"/>
  </si>
  <si>
    <t>还款风险</t>
    <phoneticPr fontId="14" type="noConversion"/>
  </si>
  <si>
    <t xml:space="preserve">non-finance factor </t>
    <phoneticPr fontId="14" type="noConversion"/>
  </si>
  <si>
    <t xml:space="preserve">Finance factor </t>
    <phoneticPr fontId="14" type="noConversion"/>
  </si>
  <si>
    <t>1.  Customer Evaluation</t>
    <phoneticPr fontId="14" type="noConversion"/>
  </si>
  <si>
    <t>Rating Score</t>
    <phoneticPr fontId="14" type="noConversion"/>
  </si>
  <si>
    <t>China Score Range and Description</t>
    <phoneticPr fontId="14" type="noConversion"/>
  </si>
  <si>
    <t>Criteria*</t>
    <phoneticPr fontId="14" type="noConversion"/>
  </si>
  <si>
    <t xml:space="preserve">Specific deal Risk Premium </t>
    <phoneticPr fontId="14" type="noConversion"/>
  </si>
  <si>
    <t>Vendor support</t>
    <phoneticPr fontId="14" type="noConversion"/>
  </si>
  <si>
    <t>Vendor support</t>
    <phoneticPr fontId="1" type="noConversion"/>
  </si>
  <si>
    <t xml:space="preserve">score </t>
    <phoneticPr fontId="1" type="noConversion"/>
  </si>
  <si>
    <t xml:space="preserve">Assets Location Assessment </t>
    <phoneticPr fontId="1" type="noConversion"/>
  </si>
  <si>
    <t xml:space="preserve">Location of customer's facilities </t>
    <phoneticPr fontId="1" type="noConversion"/>
  </si>
  <si>
    <t>Score</t>
    <phoneticPr fontId="1" type="noConversion"/>
  </si>
  <si>
    <t>Score 0: Leverage ratio &lt;50%</t>
    <phoneticPr fontId="20" type="noConversion"/>
  </si>
  <si>
    <t>4. Leverage ratio</t>
    <phoneticPr fontId="14" type="noConversion"/>
  </si>
  <si>
    <t xml:space="preserve">1. vendor support </t>
    <phoneticPr fontId="14" type="noConversion"/>
  </si>
  <si>
    <t xml:space="preserve">2. customer risk appraisal </t>
    <phoneticPr fontId="14" type="noConversion"/>
  </si>
  <si>
    <t xml:space="preserve">score </t>
    <phoneticPr fontId="1" type="noConversion"/>
  </si>
  <si>
    <t xml:space="preserve">Leverage ratio </t>
    <phoneticPr fontId="1" type="noConversion"/>
  </si>
  <si>
    <t xml:space="preserve">Sub-total score </t>
    <phoneticPr fontId="1" type="noConversion"/>
  </si>
  <si>
    <t xml:space="preserve">weight </t>
    <phoneticPr fontId="14" type="noConversion"/>
  </si>
  <si>
    <t xml:space="preserve">criterion </t>
    <phoneticPr fontId="14" type="noConversion"/>
  </si>
  <si>
    <t>Customer risk appraisal</t>
    <phoneticPr fontId="14" type="noConversion"/>
  </si>
  <si>
    <t>Assets location</t>
    <phoneticPr fontId="14" type="noConversion"/>
  </si>
  <si>
    <t>Score</t>
    <phoneticPr fontId="14" type="noConversion"/>
  </si>
  <si>
    <t xml:space="preserve">Total score </t>
    <phoneticPr fontId="14" type="noConversion"/>
  </si>
  <si>
    <t>Form of support</t>
    <phoneticPr fontId="1" type="noConversion"/>
  </si>
  <si>
    <t xml:space="preserve">Leverage ratio </t>
    <phoneticPr fontId="1" type="noConversion"/>
  </si>
  <si>
    <t xml:space="preserve">Score </t>
    <phoneticPr fontId="1" type="noConversion"/>
  </si>
  <si>
    <t>8,500,000-84,999,999</t>
    <phoneticPr fontId="1" type="noConversion"/>
  </si>
  <si>
    <t>百岁新联物流（上海）有限公司</t>
  </si>
  <si>
    <t>宝供物流企业集团有限公司</t>
  </si>
  <si>
    <t>北京东方博泰档案文件管理咨询有限公司</t>
  </si>
  <si>
    <t>北京世纪卓越快递服务有限公司</t>
  </si>
  <si>
    <t>北京洪兴尔泰装饰工程有限公司</t>
  </si>
  <si>
    <t>北京通奥物流有限公司</t>
  </si>
  <si>
    <t>超力包装（苏州）有限公司</t>
  </si>
  <si>
    <t>成都聚融中运物流有限公司</t>
  </si>
  <si>
    <t>大昌华嘉商业（中国）有限公司</t>
  </si>
  <si>
    <t>大昌三昶（上海）商贸有限公司</t>
  </si>
  <si>
    <t>大连晨丰国际物流有限公司</t>
  </si>
  <si>
    <t>重庆大足五金物流有限公司</t>
  </si>
  <si>
    <t>东方风行（上海）生活多媒体有限公司</t>
  </si>
  <si>
    <t>东方海外物流（中国）有限公司</t>
  </si>
  <si>
    <t>佛山市亨特纺织有限公司</t>
  </si>
  <si>
    <t>佛山市嘉谦纺织有限公司</t>
  </si>
  <si>
    <t>福建大汇冷藏物流股份有限公司</t>
  </si>
  <si>
    <t>固安捷（中国）工业品销售有限责任公司</t>
  </si>
  <si>
    <t>广东省邮政速递物流有限公司</t>
  </si>
  <si>
    <t>广东心怡科技物流有限公司</t>
  </si>
  <si>
    <t>广州道格贸易有限公司</t>
  </si>
  <si>
    <t>广州迈世商务服务有限公司</t>
  </si>
  <si>
    <t>广州尚岑服饰有限公司</t>
  </si>
  <si>
    <t>广州顺风速运有限公司</t>
  </si>
  <si>
    <t>广州素哥波灯具有限公司</t>
  </si>
  <si>
    <t>广州拓普森国际货运代理有限公司</t>
  </si>
  <si>
    <t>广州拓亚仓储服务有限公司</t>
  </si>
  <si>
    <t>广州旭翔国际贸易有限公司</t>
  </si>
  <si>
    <t>国药集团医药物流有限公司</t>
  </si>
  <si>
    <t>好孩子（中国）贸易有限公司</t>
  </si>
  <si>
    <t>重庆恒聚物流股份有限公司</t>
  </si>
  <si>
    <t>湖北九州舜天国际物流有限公司</t>
  </si>
  <si>
    <t>湖南九裕物流有限公司</t>
  </si>
  <si>
    <t>湖南省京阳物流有限公司</t>
  </si>
  <si>
    <t>辉联物流（北京）有限公司</t>
  </si>
  <si>
    <t>济南德邦物流有限公司</t>
  </si>
  <si>
    <t>佳通轮胎（中国）投资有限公司</t>
  </si>
  <si>
    <t>江苏安邦物流有限公司</t>
  </si>
  <si>
    <t>江苏德邦物流有限公司</t>
  </si>
  <si>
    <t>江苏海航国际物流有限公司</t>
  </si>
  <si>
    <t>精英（天津）物流有限公司</t>
  </si>
  <si>
    <t>卡宾服饰（中国）有限公司</t>
  </si>
  <si>
    <t>卡夫食品企业管理（上海）有限公司</t>
  </si>
  <si>
    <t>康明斯发动机（北京）有限公司</t>
  </si>
  <si>
    <t>蓝宝汽车部件（苏州）有限公司</t>
  </si>
  <si>
    <t>联邦快递（中国）有限公司</t>
  </si>
  <si>
    <t>辽宁朝晖骏光国际货运代理有限公司</t>
  </si>
  <si>
    <t>玫琳凯金律（杭州）日用化学品有限公司</t>
  </si>
  <si>
    <t>美泰乐科技（苏州）有限公司</t>
  </si>
  <si>
    <t>宁波泰欣国际物流有限公司</t>
  </si>
  <si>
    <t>宁波志恒物流有限公司</t>
  </si>
  <si>
    <t>宁乡县新城开发建设投资有限公司</t>
  </si>
  <si>
    <t>欧饰蒂（上海）贸易有限公司</t>
  </si>
  <si>
    <t>青岛昊翔艺术有限公司</t>
  </si>
  <si>
    <t>青岛森麒麟轮胎有限公司</t>
  </si>
  <si>
    <t>青岛鑫捷通国际物流有限公司</t>
  </si>
  <si>
    <t>曲富投资管理（上海）有限公司</t>
  </si>
  <si>
    <t>三运物流（上海）有限公司</t>
  </si>
  <si>
    <t>厦门国贸泰达物流有限公司</t>
  </si>
  <si>
    <t>上海伯络商贸有限公司</t>
  </si>
  <si>
    <t>上海大鹏国际货运有限公司</t>
  </si>
  <si>
    <t>上海得斯威国际货运有限公司</t>
  </si>
  <si>
    <t>上海凡客诚品电子商务有限公司</t>
  </si>
  <si>
    <t>上海国冠物流有限公司</t>
  </si>
  <si>
    <t>上海豪禺实业发展有限公司</t>
  </si>
  <si>
    <t>上海恒华物流有限公司</t>
  </si>
  <si>
    <t>上海汇锐比物流有限公司</t>
  </si>
  <si>
    <t>上海鲲鹏环保科技有限公司</t>
  </si>
  <si>
    <t>上海蓝图木业有限公司</t>
  </si>
  <si>
    <t>上海莲源物流有限公司</t>
  </si>
  <si>
    <t>上哈临港实业发展有限公司</t>
  </si>
  <si>
    <t>上海曼伦商贸有限公司</t>
  </si>
  <si>
    <t>上海神州数码有限公司</t>
  </si>
  <si>
    <t>上海树标物流有限公司</t>
  </si>
  <si>
    <t>上海外高桥飞驰有限公司</t>
  </si>
  <si>
    <t>上海外高桥物流中心有限公司</t>
  </si>
  <si>
    <t>上海万环国际货运代理有限公司</t>
  </si>
  <si>
    <t>上海西铁长发国际货运有限公司</t>
  </si>
  <si>
    <t>上海新友物流有限公司</t>
  </si>
  <si>
    <t>上海亚致力物流有限公司</t>
  </si>
  <si>
    <t>上海怡亚通物流有限公司</t>
  </si>
  <si>
    <t xml:space="preserve"> 上海易初莲花连锁超市有限公司</t>
  </si>
  <si>
    <t>上汽通用汽车销售有限公司</t>
  </si>
  <si>
    <t>深圳畅联国际物流有限公司</t>
  </si>
  <si>
    <t>深圳欧唯特物流服务有限公司</t>
  </si>
  <si>
    <t>深圳市华铁物流有限公司</t>
  </si>
  <si>
    <t>深圳市银雁金融配套服务有限公司</t>
  </si>
  <si>
    <t>深圳新科安达后勤保障有限公司</t>
  </si>
  <si>
    <t>沈阳苏宁物流有限公司</t>
  </si>
  <si>
    <t>狮迈（上海）贸易有限公司</t>
  </si>
  <si>
    <t>施耐德电器（中国）有限公司</t>
  </si>
  <si>
    <t>苏州君耀光电有限公司</t>
  </si>
  <si>
    <t>苏州市宝连通国际货运代理有限公司</t>
  </si>
  <si>
    <t>泰金宝科技（苏州）有限公司</t>
  </si>
  <si>
    <t>特意购乐购（中国）投资有限公司</t>
  </si>
  <si>
    <t>天津睿博龙物流有限公司</t>
  </si>
  <si>
    <t>天津睿能物流有限公司</t>
  </si>
  <si>
    <t>天津市武清开发区置业投资有限公司</t>
  </si>
  <si>
    <t>天津市西青经济开发总公司</t>
  </si>
  <si>
    <t>天津新技术产业园区武清开发区总公司</t>
  </si>
  <si>
    <t>广州唯品会信息科技有限公司</t>
  </si>
  <si>
    <t>武汉屈臣氏个人用品商店有限公司</t>
  </si>
  <si>
    <t>西安广源货运物流管理咨询服务有限公司</t>
  </si>
  <si>
    <t>新秀丽国际贸易（宁波）有限公司</t>
  </si>
  <si>
    <t>雅玛多国际物流有限公司</t>
  </si>
  <si>
    <t>亚马逊信息服务（北京）有限公司</t>
  </si>
  <si>
    <t>亚马逊卓越有限公司</t>
  </si>
  <si>
    <t>宜兴能联建材有限公司</t>
  </si>
  <si>
    <t xml:space="preserve"> 招商局物流集团北京有限公司</t>
  </si>
  <si>
    <t>中床国际物流集团有限公司</t>
  </si>
  <si>
    <t>上海联合网络通信有限公司</t>
  </si>
  <si>
    <t>上海外运物流发展有限公司</t>
  </si>
  <si>
    <t>中粮创新食品（北京）有限公司</t>
  </si>
  <si>
    <t>中山市宝昊贸易有限公司</t>
  </si>
  <si>
    <t>重庆海邦物流有限公司</t>
  </si>
  <si>
    <t>重庆科凯前卫风电设备有限责任公司</t>
  </si>
  <si>
    <t>重庆两江新开发区投资集团有限公司</t>
  </si>
  <si>
    <t>重庆添光物流有限公司</t>
  </si>
  <si>
    <t>重庆欣荣物流有限公司</t>
  </si>
  <si>
    <t>重庆延峰江森座椅有限公司</t>
  </si>
  <si>
    <t>重庆市中色货运有限公司</t>
  </si>
  <si>
    <t>重庆重视时尚购物有限公司</t>
  </si>
  <si>
    <t>重庆住商云信物流有限公司</t>
  </si>
  <si>
    <t>住商国际物流（上海）有限公司</t>
  </si>
  <si>
    <t>-</t>
    <phoneticPr fontId="5" type="noConversion"/>
  </si>
  <si>
    <t>3AA1</t>
    <phoneticPr fontId="5" type="noConversion"/>
  </si>
  <si>
    <t>GLP facilities in 1 tier logstics hubs</t>
    <phoneticPr fontId="14" type="noConversion"/>
  </si>
  <si>
    <r>
      <t xml:space="preserve">GLP facilities in 2 tier </t>
    </r>
    <r>
      <rPr>
        <sz val="12"/>
        <rFont val="Arial"/>
        <family val="2"/>
      </rPr>
      <t>logistics hubs</t>
    </r>
    <phoneticPr fontId="14" type="noConversion"/>
  </si>
  <si>
    <t xml:space="preserve">Other location </t>
    <phoneticPr fontId="14" type="noConversion"/>
  </si>
  <si>
    <t xml:space="preserve">3. assets location </t>
    <phoneticPr fontId="14" type="noConversion"/>
  </si>
  <si>
    <t xml:space="preserve">form of support </t>
    <phoneticPr fontId="14" type="noConversion"/>
  </si>
  <si>
    <t xml:space="preserve">Risk Premium </t>
    <phoneticPr fontId="1" type="noConversion"/>
  </si>
  <si>
    <t>WACC</t>
    <phoneticPr fontId="14" type="noConversion"/>
  </si>
  <si>
    <t>Ke</t>
    <phoneticPr fontId="14" type="noConversion"/>
  </si>
  <si>
    <t>Kd</t>
    <phoneticPr fontId="14" type="noConversion"/>
  </si>
  <si>
    <t xml:space="preserve">tax </t>
    <phoneticPr fontId="14" type="noConversion"/>
  </si>
  <si>
    <t>Leverage Ratio</t>
    <phoneticPr fontId="14" type="noConversion"/>
  </si>
  <si>
    <t>Leverage Ratio</t>
    <phoneticPr fontId="14" type="noConversion"/>
  </si>
  <si>
    <t>WACC</t>
    <phoneticPr fontId="1" type="noConversion"/>
  </si>
  <si>
    <t>Hurdle Rate</t>
    <phoneticPr fontId="14" type="noConversion"/>
  </si>
  <si>
    <t>"coopearative partner with GLP, but without any material support"</t>
  </si>
  <si>
    <t>-</t>
    <phoneticPr fontId="5" type="noConversion"/>
  </si>
  <si>
    <t>-</t>
    <phoneticPr fontId="5" type="noConversion"/>
  </si>
  <si>
    <t>Criteria</t>
  </si>
  <si>
    <t>Weight in Total Score</t>
  </si>
  <si>
    <t>Description</t>
  </si>
  <si>
    <t>Within Criteria</t>
  </si>
  <si>
    <t>Total Score</t>
  </si>
  <si>
    <t>Final Risk Score</t>
  </si>
  <si>
    <t>(=10-Total Score)</t>
  </si>
  <si>
    <t xml:space="preserve">Weight </t>
  </si>
  <si>
    <t>Score</t>
  </si>
  <si>
    <t>Vendor support</t>
  </si>
  <si>
    <t>Score 10: cooperative partner with repossessing guarantee</t>
  </si>
  <si>
    <t>0-10</t>
  </si>
  <si>
    <t>0-2.5</t>
  </si>
  <si>
    <t>Score 8: cooperative partner with remarketing support</t>
  </si>
  <si>
    <t>Score 6: cooperative partner with other support</t>
  </si>
  <si>
    <t>Score 4: cooperative partner with GLP, but without any material support</t>
  </si>
  <si>
    <t>Score 2: No cooperation record with GLP/GLP Finance Lease Company, but  having good market reputation</t>
  </si>
  <si>
    <t>Score 0: No cooperation record with GLP/GLP Finance Lease Company, and holding mediocre reputation</t>
  </si>
  <si>
    <t>Customer risk appraisal</t>
  </si>
  <si>
    <t>EMMA Score from D&amp;B</t>
  </si>
  <si>
    <t>Score 10: EMMA Score=1</t>
  </si>
  <si>
    <t>Score 8: EMMA Score=2</t>
  </si>
  <si>
    <t>Score 2: EMMA Score=8</t>
  </si>
  <si>
    <t>Score 1: EMMA Score=9</t>
  </si>
  <si>
    <t>Score 0: EMMA Score=10</t>
  </si>
  <si>
    <t>Composite Credit Appraisal from D&amp;B</t>
  </si>
  <si>
    <t>Score 10: Strong</t>
  </si>
  <si>
    <t>Score 8: Good</t>
  </si>
  <si>
    <t>Registered capital (RMB)</t>
  </si>
  <si>
    <t>Score 10: &gt;=450,0000,000</t>
  </si>
  <si>
    <t>0.15-1.5</t>
  </si>
  <si>
    <t>Score 9.25: 85,000,000 - 449,000,000</t>
  </si>
  <si>
    <t>Score 8.5: 8,500,000-84,999,999</t>
  </si>
  <si>
    <t>Score 7.75: 6,500,000-84,999,999</t>
  </si>
  <si>
    <t>Score 7: 4,500,000-6,499,999</t>
  </si>
  <si>
    <t>Score 6.25: 2,500,000-4,499,999</t>
  </si>
  <si>
    <t>Score 5.5: 1,750,000-2,499,999</t>
  </si>
  <si>
    <t>Score 4.75: 1,000,000-1,749,999</t>
  </si>
  <si>
    <t>Score 4: 650,000-999,999</t>
  </si>
  <si>
    <t>Score 3.25: 450,000-649,999</t>
  </si>
  <si>
    <t>Score 2.5: 300,000-449,999</t>
  </si>
  <si>
    <t>Score 1.75: 200,000-299,999</t>
  </si>
  <si>
    <t>Score 1: &lt;200,000</t>
  </si>
  <si>
    <t>GLP Customer Evaluation</t>
  </si>
  <si>
    <t xml:space="preserve">Score 10: GLP existing customer with good rental payment record </t>
  </si>
  <si>
    <t>0-1</t>
  </si>
  <si>
    <t xml:space="preserve">Score 5: GLP existing customer with delinquence histroy, but now with no overdue </t>
  </si>
  <si>
    <t>Score 0: GLP existing customer with however acceptable overdue record, or not GLP customer</t>
  </si>
  <si>
    <t>Assets location</t>
  </si>
  <si>
    <t>Score 10: 1-tier logistics hubs (i.e. Shanghai, Guangzhou &amp; Foshan, Beijing, Tianjin, Suzhou, Shenzhen)</t>
  </si>
  <si>
    <t>0.2-1</t>
  </si>
  <si>
    <t>Score 6: 2-tier logistics hubs (i.e. Nanjing, Wuxi, Hangzhou, Jiaxing, Ningbo, Qingdao, Shenyang, Dalian, Zhongshan, Zhuhai, Chengdu, Chongqing, Jinan, Zhengzhou, Wuhan, Hefei, Xi'an, Xiamen, Nanning, Changsha, Nanchang, Kunming)</t>
  </si>
  <si>
    <t>Score 2: Others</t>
  </si>
  <si>
    <t>Score 10: Leverage ratio &lt;50%</t>
  </si>
  <si>
    <t>0-1.5</t>
  </si>
  <si>
    <t>Score 8: Leverage ratio &gt;=50%, &lt;65%</t>
  </si>
  <si>
    <t>Score 6: Leverage ratio &gt;=65%, &lt;75%</t>
  </si>
  <si>
    <t>Score 4: Leverage ratio &gt;=75%, &lt;80%</t>
  </si>
  <si>
    <t>Score 2: Leverage ratio &gt;=80%, &lt;85%</t>
  </si>
  <si>
    <t>Score 0: Leverage ratio &gt;=85%</t>
  </si>
  <si>
    <t>Score 6: Fair</t>
    <phoneticPr fontId="1" type="noConversion"/>
  </si>
  <si>
    <t>Score 4: Limited</t>
    <phoneticPr fontId="1" type="noConversion"/>
  </si>
  <si>
    <t>2-10'</t>
    <phoneticPr fontId="1" type="noConversion"/>
  </si>
  <si>
    <t>Leverage rate</t>
    <phoneticPr fontId="14" type="noConversion"/>
  </si>
  <si>
    <t xml:space="preserve">Risk Premium range according to hurdle rating </t>
    <phoneticPr fontId="1" type="noConversion"/>
  </si>
  <si>
    <t>Average hurdel rate (as benchmark)</t>
    <phoneticPr fontId="1" type="noConversion"/>
  </si>
  <si>
    <t>Score 6: EMMA Score=3</t>
    <phoneticPr fontId="1" type="noConversion"/>
  </si>
  <si>
    <t>Score 5: EMMA Score=4</t>
    <phoneticPr fontId="1" type="noConversion"/>
  </si>
  <si>
    <t>Score 4: EMMA Score=5</t>
    <phoneticPr fontId="1" type="noConversion"/>
  </si>
  <si>
    <t>Score 3.2: EMMA Score=6</t>
    <phoneticPr fontId="1" type="noConversion"/>
  </si>
  <si>
    <t>Score 2.4: EMMA Score=7</t>
    <phoneticPr fontId="1" type="noConversion"/>
  </si>
  <si>
    <t>0-4.5</t>
    <phoneticPr fontId="1" type="noConversion"/>
  </si>
  <si>
    <t>Score 2: Undetermined</t>
    <phoneticPr fontId="1" type="noConversion"/>
  </si>
  <si>
    <t>0.6-3</t>
    <phoneticPr fontId="1" type="noConversion"/>
  </si>
  <si>
    <t>0.375-5</t>
    <phoneticPr fontId="1" type="noConversion"/>
  </si>
  <si>
    <t>Leverage rate</t>
    <phoneticPr fontId="1" type="noConversion"/>
  </si>
  <si>
    <t>0.57-10</t>
    <phoneticPr fontId="1" type="noConversion"/>
  </si>
  <si>
    <t>0.57-10%</t>
    <phoneticPr fontId="14" type="noConversion"/>
  </si>
  <si>
    <t xml:space="preserve">facility location </t>
    <phoneticPr fontId="1" type="noConversion"/>
  </si>
  <si>
    <t xml:space="preserve">Description </t>
    <phoneticPr fontId="14" type="noConversion"/>
  </si>
  <si>
    <t>Score</t>
    <phoneticPr fontId="14" type="noConversion"/>
  </si>
  <si>
    <t xml:space="preserve">Other location </t>
  </si>
  <si>
    <t>cooperative partner with repossessing guarantee</t>
    <phoneticPr fontId="1" type="noConversion"/>
  </si>
  <si>
    <t>Score</t>
    <phoneticPr fontId="1" type="noConversion"/>
  </si>
  <si>
    <t>cooperative partner with remarketing support</t>
    <phoneticPr fontId="1" type="noConversion"/>
  </si>
  <si>
    <t>cooperative partner with other support</t>
    <phoneticPr fontId="1" type="noConversion"/>
  </si>
  <si>
    <t>cooperative partner with GLP, but without any material support</t>
    <phoneticPr fontId="1" type="noConversion"/>
  </si>
  <si>
    <t>No cooperation record with GLP/GLP Finance Lease Company, and holding mediocre reputation</t>
    <phoneticPr fontId="1" type="noConversion"/>
  </si>
  <si>
    <t>No cooperation record with GLP/GLP Finance Lease Company, but  having good market reputation</t>
    <phoneticPr fontId="1" type="noConversion"/>
  </si>
  <si>
    <t>Criteria</t>
    <phoneticPr fontId="1" type="noConversion"/>
  </si>
  <si>
    <t>Score</t>
    <phoneticPr fontId="1" type="noConversion"/>
  </si>
  <si>
    <t>Criteria(EMMA Score=)</t>
    <phoneticPr fontId="1" type="noConversion"/>
  </si>
  <si>
    <t>Limited</t>
    <phoneticPr fontId="1" type="noConversion"/>
  </si>
  <si>
    <t>Criteria</t>
    <phoneticPr fontId="1" type="noConversion"/>
  </si>
  <si>
    <t>&lt;200,000</t>
    <phoneticPr fontId="1" type="noConversion"/>
  </si>
  <si>
    <t>Score</t>
    <phoneticPr fontId="1" type="noConversion"/>
  </si>
  <si>
    <t>1-tier logistics hubs (i.e. Shanghai, Guangzhou &amp; Foshan, Beijing, Tianjin, Suzhou, Shenzhen)</t>
    <phoneticPr fontId="1" type="noConversion"/>
  </si>
  <si>
    <t>Score</t>
    <phoneticPr fontId="1" type="noConversion"/>
  </si>
  <si>
    <t>2-tier logistics hubs (i.e. Nanjing, Wuxi, Hangzhou, Jiaxing, Ningbo, Qingdao, Shenyang, Dalian, Zhongshan, Zhuhai, Chengdu, Chongqing, Jinan, Zhengzhou, Wuhan, Hefei, Xi'an, Xiamen, Nanning, Changsha, Nanchang, Kunming)</t>
    <phoneticPr fontId="1" type="noConversion"/>
  </si>
  <si>
    <t>Others</t>
    <phoneticPr fontId="1" type="noConversion"/>
  </si>
  <si>
    <t>Score</t>
    <phoneticPr fontId="1" type="noConversion"/>
  </si>
  <si>
    <t>Registered capital (RMB)</t>
    <phoneticPr fontId="1" type="noConversion"/>
  </si>
  <si>
    <t>Criteria(Registered capital)</t>
    <phoneticPr fontId="1" type="noConversion"/>
  </si>
  <si>
    <t>&lt;50%</t>
    <phoneticPr fontId="1" type="noConversion"/>
  </si>
  <si>
    <t>&gt;=85%</t>
    <phoneticPr fontId="1" type="noConversion"/>
  </si>
  <si>
    <t>传化集团有限公司</t>
    <phoneticPr fontId="5" type="noConversion"/>
  </si>
  <si>
    <t>Code</t>
    <phoneticPr fontId="5" type="noConversion"/>
  </si>
  <si>
    <t>必胜(上海)食品有限公司</t>
  </si>
  <si>
    <t>Code</t>
  </si>
  <si>
    <t>Name</t>
  </si>
  <si>
    <t>Sum</t>
  </si>
  <si>
    <t>必胜(上海)食品有限公司</t>
    <phoneticPr fontId="5" type="noConversion"/>
  </si>
  <si>
    <t>GLP existing customer with however acceptable overdue record, or not GLP customer</t>
    <phoneticPr fontId="1" type="noConversion"/>
  </si>
  <si>
    <t xml:space="preserve">GLP existing customer with good rental payment record </t>
    <phoneticPr fontId="1" type="noConversion"/>
  </si>
  <si>
    <t xml:space="preserve">GLP existing customer with delinquence histroy, but now with no overdue </t>
    <phoneticPr fontId="1" type="noConversion"/>
  </si>
  <si>
    <t>Asset locatoin</t>
    <phoneticPr fontId="5" type="noConversion"/>
  </si>
  <si>
    <t>Leverage rate</t>
    <phoneticPr fontId="5" type="noConversion"/>
  </si>
  <si>
    <t>Score</t>
    <phoneticPr fontId="1" type="noConversion"/>
  </si>
  <si>
    <t>Description</t>
    <phoneticPr fontId="1" type="noConversion"/>
  </si>
  <si>
    <t>Vendor suppport</t>
    <phoneticPr fontId="5" type="noConversion"/>
  </si>
  <si>
    <t>1-tier logistics hubs (i.e. Shanghai, Guangzhou &amp; Foshan, Beijing, Tianjin, Suzhou, Shenzhen)</t>
    <phoneticPr fontId="5" type="noConversion"/>
  </si>
  <si>
    <t>cooperative partner with remarketing support</t>
    <phoneticPr fontId="5" type="noConversion"/>
  </si>
  <si>
    <t>GLP Customer Evaluation</t>
    <phoneticPr fontId="1" type="noConversion"/>
  </si>
  <si>
    <t>EMMA Score from D&amp;B</t>
    <phoneticPr fontId="1" type="noConversion"/>
  </si>
  <si>
    <t>EMMA Score from D&amp;B</t>
    <phoneticPr fontId="1" type="noConversion"/>
  </si>
  <si>
    <t>EMMA score</t>
    <phoneticPr fontId="5" type="noConversion"/>
  </si>
  <si>
    <t>Composite Credit Appraisal from D&amp;B</t>
    <phoneticPr fontId="1" type="noConversion"/>
  </si>
  <si>
    <t>Composite Credit Appraisal</t>
    <phoneticPr fontId="1" type="noConversion"/>
  </si>
  <si>
    <t>Limited</t>
    <phoneticPr fontId="1" type="noConversion"/>
  </si>
  <si>
    <t>-</t>
    <phoneticPr fontId="1" type="noConversion"/>
  </si>
  <si>
    <t>composite credit appraisal</t>
    <phoneticPr fontId="5" type="noConversion"/>
  </si>
  <si>
    <t>Strong</t>
    <phoneticPr fontId="1" type="noConversion"/>
  </si>
  <si>
    <t>Good</t>
    <phoneticPr fontId="1" type="noConversion"/>
  </si>
  <si>
    <t>Fair</t>
    <phoneticPr fontId="1" type="noConversion"/>
  </si>
  <si>
    <t>Undetermined</t>
    <phoneticPr fontId="1" type="noConversion"/>
  </si>
  <si>
    <t>1</t>
    <phoneticPr fontId="1" type="noConversion"/>
  </si>
  <si>
    <t>2</t>
    <phoneticPr fontId="1" type="noConversion"/>
  </si>
  <si>
    <t>3</t>
    <phoneticPr fontId="1" type="noConversion"/>
  </si>
  <si>
    <t>4</t>
    <phoneticPr fontId="1" type="noConversion"/>
  </si>
  <si>
    <t>Strong</t>
    <phoneticPr fontId="1" type="noConversion"/>
  </si>
  <si>
    <t>Good</t>
    <phoneticPr fontId="1" type="noConversion"/>
  </si>
  <si>
    <t>Fair</t>
    <phoneticPr fontId="1" type="noConversion"/>
  </si>
  <si>
    <t>Undetermined</t>
    <phoneticPr fontId="1" type="noConversion"/>
  </si>
  <si>
    <t>&gt;=450,0000,000</t>
    <phoneticPr fontId="1" type="noConversion"/>
  </si>
  <si>
    <t>&gt;=85,000,000;&lt;450,0000,000</t>
    <phoneticPr fontId="1" type="noConversion"/>
  </si>
  <si>
    <t>&gt;=8,500,000;&lt;85,000,000</t>
    <phoneticPr fontId="1" type="noConversion"/>
  </si>
  <si>
    <t>&gt;=6,500,000;&lt;8,500,000</t>
    <phoneticPr fontId="1" type="noConversion"/>
  </si>
  <si>
    <t>&gt;=4,500,000;&lt;6,500,000</t>
    <phoneticPr fontId="1" type="noConversion"/>
  </si>
  <si>
    <t>&gt;=2,500,000;&lt;4,500,000</t>
    <phoneticPr fontId="1" type="noConversion"/>
  </si>
  <si>
    <t>&gt;=1,750,000;&lt;2,500,000</t>
    <phoneticPr fontId="1" type="noConversion"/>
  </si>
  <si>
    <t>&gt;=1,000,000;&lt;1,750,000</t>
    <phoneticPr fontId="1" type="noConversion"/>
  </si>
  <si>
    <t>&gt;=650,000;&lt;1,000,000</t>
    <phoneticPr fontId="1" type="noConversion"/>
  </si>
  <si>
    <t>&gt;=450,000;&lt;650,000</t>
    <phoneticPr fontId="1" type="noConversion"/>
  </si>
  <si>
    <t>&gt;=300,000;450,000</t>
    <phoneticPr fontId="1" type="noConversion"/>
  </si>
  <si>
    <t>&gt;=200,000;300,000</t>
    <phoneticPr fontId="1" type="noConversion"/>
  </si>
  <si>
    <t>&gt;=50%; &lt;65%</t>
    <phoneticPr fontId="1" type="noConversion"/>
  </si>
  <si>
    <t xml:space="preserve"> &gt;=65%;&lt;75%</t>
    <phoneticPr fontId="1" type="noConversion"/>
  </si>
  <si>
    <t>&gt;=75%;&lt;80%</t>
    <phoneticPr fontId="1" type="noConversion"/>
  </si>
  <si>
    <t>&gt;=80%; &lt;85%</t>
    <phoneticPr fontId="1" type="noConversion"/>
  </si>
  <si>
    <t>Registered capital (RMB)</t>
    <phoneticPr fontId="1" type="noConversion"/>
  </si>
  <si>
    <t>Registered Capital</t>
    <phoneticPr fontId="5" type="noConversion"/>
  </si>
  <si>
    <t>GLP Customer Evaluation</t>
    <phoneticPr fontId="1" type="noConversion"/>
  </si>
  <si>
    <t>GLP Customer Evaluation</t>
    <phoneticPr fontId="5" type="noConversion"/>
  </si>
  <si>
    <t>Assets location</t>
    <phoneticPr fontId="1" type="noConversion"/>
  </si>
  <si>
    <t>Criteria(Leverage ratio)</t>
    <phoneticPr fontId="1" type="noConversion"/>
  </si>
  <si>
    <t>Name</t>
    <phoneticPr fontId="5" type="noConversion"/>
  </si>
  <si>
    <t>Current Owed</t>
  </si>
  <si>
    <t>0  - 30 Owed</t>
  </si>
  <si>
    <t>31 - 60 Owed</t>
  </si>
  <si>
    <t>61 - 90 Owed</t>
  </si>
  <si>
    <t>91-180 Owed</t>
  </si>
  <si>
    <t>Over 180 Owed</t>
  </si>
  <si>
    <t xml:space="preserve">Notes </t>
  </si>
  <si>
    <t>水电费</t>
  </si>
  <si>
    <t>GLP existing customer with however acceptable overdue record, or not GLP customer</t>
  </si>
  <si>
    <t>cooperative partner with repossessing guarantee</t>
  </si>
  <si>
    <t>2-tier logistics hubs (i.e. Nanjing, Wuxi, Hangzhou, Jiaxing, Ningbo, Qingdao, Shenyang, Dalian, Zhongshan, Zhuhai, Chengdu, Chongqing, Jinan, Zhengzhou, Wuhan, Hefei, Xi'an, Xiamen, Nanning, Changsha, Nanchang, Kunming)</t>
  </si>
  <si>
    <t>百岁新联物流（上海）有限公司</t>
    <phoneticPr fontId="1" type="noConversion"/>
  </si>
  <si>
    <t>Age as of</t>
  </si>
  <si>
    <t xml:space="preserve">GLP existing customer with good rental payment record </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</si>
</sst>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 #,##0.00_ ;_ * \-#,##0.00_ ;_ * &quot;-&quot;??_ ;_ @_ "/>
    <numFmt numFmtId="176" formatCode="#,##0_ "/>
    <numFmt numFmtId="177" formatCode="&quot;¥&quot;#,##0_);[Red]\(&quot;¥&quot;#,##0\)"/>
    <numFmt numFmtId="178" formatCode="_ * #,##0_ ;_ * \-#,##0_ ;_ * &quot;-&quot;??_ ;_ @_ "/>
    <numFmt numFmtId="179" formatCode="0.00_ "/>
    <numFmt numFmtId="180" formatCode="0_ "/>
    <numFmt numFmtId="181" formatCode="#,##0_);[Red]\(#,##0\)"/>
    <numFmt numFmtId="182" formatCode="#,##0.00_);[Red]\(#,##0.00\)"/>
  </numFmts>
  <fonts count="39" x14ac:knownFonts="1">
    <font>
      <sz val="11"/>
      <color theme="1"/>
      <name val="宋体"/>
      <family val="2"/>
      <charset val="134"/>
      <scheme val="minor"/>
    </font>
    <font>
      <sz val="9"/>
      <name val="宋体"/>
      <family val="2"/>
      <charset val="134"/>
      <scheme val="minor"/>
    </font>
    <font>
      <sz val="9"/>
      <color indexed="81"/>
      <name val="宋体"/>
      <family val="3"/>
      <charset val="134"/>
    </font>
    <font>
      <b/>
      <sz val="9"/>
      <color indexed="81"/>
      <name val="宋体"/>
      <family val="3"/>
      <charset val="134"/>
    </font>
    <font>
      <sz val="11"/>
      <color theme="1"/>
      <name val="Arial"/>
      <family val="2"/>
    </font>
    <font>
      <sz val="9"/>
      <name val="宋体"/>
      <family val="3"/>
      <charset val="134"/>
      <scheme val="minor"/>
    </font>
    <font>
      <b/>
      <sz val="11"/>
      <color theme="1"/>
      <name val="Arial"/>
      <family val="2"/>
    </font>
    <font>
      <sz val="11"/>
      <color theme="1"/>
      <name val="宋体"/>
      <family val="2"/>
      <charset val="134"/>
      <scheme val="minor"/>
    </font>
    <font>
      <b/>
      <sz val="11"/>
      <color rgb="FFFF0000"/>
      <name val="Arial"/>
      <family val="2"/>
    </font>
    <font>
      <sz val="9"/>
      <color rgb="FFFF0000"/>
      <name val="Arial"/>
      <family val="2"/>
    </font>
    <font>
      <b/>
      <sz val="9"/>
      <color rgb="FFFF0000"/>
      <name val="Arial"/>
      <family val="2"/>
    </font>
    <font>
      <sz val="12"/>
      <name val="宋体"/>
      <family val="3"/>
      <charset val="134"/>
    </font>
    <font>
      <sz val="12"/>
      <name val="Arial"/>
      <family val="2"/>
    </font>
    <font>
      <b/>
      <sz val="12"/>
      <name val="Arial"/>
      <family val="2"/>
    </font>
    <font>
      <sz val="9"/>
      <name val="宋体"/>
      <family val="3"/>
      <charset val="134"/>
    </font>
    <font>
      <b/>
      <i/>
      <u/>
      <sz val="12"/>
      <name val="Arial"/>
      <family val="2"/>
    </font>
    <font>
      <b/>
      <i/>
      <u/>
      <sz val="12"/>
      <color rgb="FFFF0000"/>
      <name val="Arial"/>
      <family val="2"/>
    </font>
    <font>
      <b/>
      <sz val="14"/>
      <name val="Arial"/>
      <family val="2"/>
    </font>
    <font>
      <sz val="12"/>
      <color rgb="FFFF0000"/>
      <name val="Arial"/>
      <family val="2"/>
    </font>
    <font>
      <sz val="12"/>
      <name val="宋体"/>
      <family val="3"/>
      <charset val="134"/>
    </font>
    <font>
      <sz val="9"/>
      <name val="宋体"/>
      <family val="3"/>
      <charset val="134"/>
    </font>
    <font>
      <vertAlign val="superscript"/>
      <sz val="12"/>
      <name val="Arial"/>
      <family val="2"/>
    </font>
    <font>
      <b/>
      <i/>
      <sz val="12"/>
      <name val="Arial"/>
      <family val="2"/>
    </font>
    <font>
      <b/>
      <sz val="12"/>
      <color rgb="FFFF0000"/>
      <name val="Arial"/>
      <family val="2"/>
    </font>
    <font>
      <b/>
      <sz val="9"/>
      <color theme="0"/>
      <name val="Arial"/>
      <family val="2"/>
    </font>
    <font>
      <b/>
      <sz val="14"/>
      <color theme="1"/>
      <name val="Arial"/>
      <family val="2"/>
    </font>
    <font>
      <sz val="12"/>
      <color theme="1"/>
      <name val="宋体"/>
      <family val="2"/>
      <charset val="134"/>
    </font>
    <font>
      <b/>
      <sz val="11"/>
      <color rgb="FFFFFFFF"/>
      <name val="Arial Unicode MS"/>
      <family val="2"/>
      <charset val="134"/>
    </font>
    <font>
      <b/>
      <sz val="11"/>
      <color rgb="FF000000"/>
      <name val="Arial Unicode MS"/>
      <family val="2"/>
      <charset val="134"/>
    </font>
    <font>
      <sz val="11"/>
      <color rgb="FF000000"/>
      <name val="Arial Unicode MS"/>
      <family val="2"/>
      <charset val="134"/>
    </font>
    <font>
      <sz val="11"/>
      <color theme="1"/>
      <name val="Arial Unicode MS"/>
      <family val="2"/>
      <charset val="134"/>
    </font>
    <font>
      <sz val="9"/>
      <color theme="1"/>
      <name val="宋体"/>
      <family val="2"/>
      <charset val="134"/>
      <scheme val="minor"/>
    </font>
    <font>
      <b/>
      <sz val="8"/>
      <color rgb="FFFFFFFF"/>
      <name val="Arial Unicode MS"/>
      <family val="2"/>
      <charset val="134"/>
    </font>
    <font>
      <b/>
      <sz val="8"/>
      <color rgb="FF000000"/>
      <name val="Arial Unicode MS"/>
      <family val="2"/>
      <charset val="134"/>
    </font>
    <font>
      <sz val="8"/>
      <color rgb="FF000000"/>
      <name val="Arial Unicode MS"/>
      <family val="2"/>
      <charset val="134"/>
    </font>
    <font>
      <sz val="8"/>
      <color theme="1"/>
      <name val="Arial Unicode MS"/>
      <family val="2"/>
      <charset val="134"/>
    </font>
    <font>
      <sz val="11"/>
      <color rgb="FF000000"/>
      <name val="宋体"/>
      <family val="3"/>
      <charset val="134"/>
    </font>
    <font>
      <b/>
      <sz val="11"/>
      <color theme="1"/>
      <name val="宋体"/>
      <family val="3"/>
      <charset val="134"/>
      <scheme val="minor"/>
    </font>
    <font>
      <b/>
      <sz val="22"/>
      <color theme="1"/>
      <name val="宋体"/>
      <family val="3"/>
      <charset val="134"/>
      <scheme val="minor"/>
    </font>
  </fonts>
  <fills count="8">
    <fill>
      <patternFill patternType="none"/>
    </fill>
    <fill>
      <patternFill patternType="gray125"/>
    </fill>
    <fill>
      <patternFill patternType="solid">
        <fgColor theme="2" tint="-0.499984740745262"/>
        <bgColor indexed="64"/>
      </patternFill>
    </fill>
    <fill>
      <patternFill patternType="solid">
        <fgColor theme="6" tint="0.39997558519241921"/>
        <bgColor indexed="64"/>
      </patternFill>
    </fill>
    <fill>
      <patternFill patternType="solid">
        <fgColor theme="1" tint="0.34998626667073579"/>
        <bgColor indexed="64"/>
      </patternFill>
    </fill>
    <fill>
      <patternFill patternType="solid">
        <fgColor rgb="FF92D050"/>
        <bgColor indexed="64"/>
      </patternFill>
    </fill>
    <fill>
      <patternFill patternType="solid">
        <fgColor rgb="FFFFFF00"/>
        <bgColor indexed="64"/>
      </patternFill>
    </fill>
    <fill>
      <patternFill patternType="solid">
        <fgColor rgb="FF00B05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style="medium">
        <color rgb="FF000000"/>
      </bottom>
      <diagonal/>
    </border>
    <border>
      <left/>
      <right style="medium">
        <color indexed="64"/>
      </right>
      <top/>
      <bottom style="medium">
        <color rgb="FF000000"/>
      </bottom>
      <diagonal/>
    </border>
    <border>
      <left/>
      <right style="medium">
        <color rgb="FF000000"/>
      </right>
      <top/>
      <bottom/>
      <diagonal/>
    </border>
    <border>
      <left/>
      <right style="medium">
        <color rgb="FF000000"/>
      </right>
      <top/>
      <bottom style="medium">
        <color indexed="64"/>
      </bottom>
      <diagonal/>
    </border>
    <border>
      <left/>
      <right style="medium">
        <color rgb="FF000000"/>
      </right>
      <top style="medium">
        <color indexed="64"/>
      </top>
      <bottom/>
      <diagonal/>
    </border>
    <border>
      <left style="medium">
        <color rgb="FF000000"/>
      </left>
      <right style="medium">
        <color indexed="64"/>
      </right>
      <top style="medium">
        <color indexed="64"/>
      </top>
      <bottom/>
      <diagonal/>
    </border>
    <border>
      <left style="medium">
        <color rgb="FF000000"/>
      </left>
      <right style="medium">
        <color indexed="64"/>
      </right>
      <top/>
      <bottom/>
      <diagonal/>
    </border>
    <border>
      <left style="medium">
        <color rgb="FF000000"/>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rgb="FF000000"/>
      </left>
      <right style="medium">
        <color indexed="64"/>
      </right>
      <top style="medium">
        <color rgb="FF000000"/>
      </top>
      <bottom/>
      <diagonal/>
    </border>
    <border>
      <left/>
      <right style="medium">
        <color indexed="64"/>
      </right>
      <top style="medium">
        <color rgb="FF000000"/>
      </top>
      <bottom/>
      <diagonal/>
    </border>
    <border>
      <left style="medium">
        <color indexed="64"/>
      </left>
      <right style="medium">
        <color indexed="64"/>
      </right>
      <top/>
      <bottom style="thin">
        <color indexed="64"/>
      </bottom>
      <diagonal/>
    </border>
    <border>
      <left/>
      <right/>
      <top/>
      <bottom style="thin">
        <color auto="1"/>
      </bottom>
      <diagonal/>
    </border>
    <border>
      <left/>
      <right/>
      <top style="thin">
        <color auto="1"/>
      </top>
      <bottom/>
      <diagonal/>
    </border>
    <border>
      <left style="thin">
        <color auto="1"/>
      </left>
      <right/>
      <top style="thin">
        <color auto="1"/>
      </top>
      <bottom/>
      <diagonal/>
    </border>
    <border>
      <left style="thin">
        <color auto="1"/>
      </left>
      <right/>
      <top/>
      <bottom/>
      <diagonal/>
    </border>
    <border>
      <left/>
      <right style="thin">
        <color auto="1"/>
      </right>
      <top/>
      <bottom style="thin">
        <color auto="1"/>
      </bottom>
      <diagonal/>
    </border>
    <border>
      <left style="thin">
        <color auto="1"/>
      </left>
      <right style="thin">
        <color indexed="64"/>
      </right>
      <top/>
      <bottom/>
      <diagonal/>
    </border>
  </borders>
  <cellStyleXfs count="9">
    <xf numFmtId="0" fontId="0" fillId="0" borderId="0">
      <alignment vertical="center"/>
    </xf>
    <xf numFmtId="43" fontId="7" fillId="0" borderId="0" applyFont="0" applyFill="0" applyBorder="0" applyAlignment="0" applyProtection="0">
      <alignment vertical="center"/>
    </xf>
    <xf numFmtId="0" fontId="11" fillId="0" borderId="0">
      <alignment vertical="center"/>
    </xf>
    <xf numFmtId="9" fontId="11" fillId="0" borderId="0" applyFont="0" applyFill="0" applyBorder="0" applyAlignment="0" applyProtection="0">
      <alignment vertical="center"/>
    </xf>
    <xf numFmtId="43" fontId="11"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43" fontId="19" fillId="0" borderId="0" applyFont="0" applyFill="0" applyBorder="0" applyAlignment="0" applyProtection="0">
      <alignment vertical="center"/>
    </xf>
    <xf numFmtId="9" fontId="7" fillId="0" borderId="0" applyFont="0" applyFill="0" applyBorder="0" applyAlignment="0" applyProtection="0">
      <alignment vertical="center"/>
    </xf>
  </cellStyleXfs>
  <cellXfs count="436">
    <xf numFmtId="0" fontId="0" fillId="0" borderId="0" xfId="0">
      <alignment vertical="center"/>
    </xf>
    <xf numFmtId="0" fontId="4" fillId="0" borderId="0" xfId="0" applyFont="1">
      <alignment vertical="center"/>
    </xf>
    <xf numFmtId="0" fontId="4" fillId="0" borderId="1" xfId="0" applyFont="1" applyBorder="1">
      <alignment vertical="center"/>
    </xf>
    <xf numFmtId="0" fontId="4" fillId="0" borderId="1" xfId="0" applyFont="1" applyBorder="1" applyAlignment="1">
      <alignment horizontal="right" vertical="center"/>
    </xf>
    <xf numFmtId="176" fontId="4" fillId="0" borderId="1" xfId="0" applyNumberFormat="1" applyFont="1" applyBorder="1">
      <alignment vertical="center"/>
    </xf>
    <xf numFmtId="0" fontId="0" fillId="0" borderId="1" xfId="0" applyBorder="1">
      <alignment vertical="center"/>
    </xf>
    <xf numFmtId="0" fontId="6" fillId="0" borderId="0" xfId="0" applyFont="1">
      <alignment vertical="center"/>
    </xf>
    <xf numFmtId="0" fontId="0" fillId="0" borderId="0" xfId="0" applyBorder="1">
      <alignment vertical="center"/>
    </xf>
    <xf numFmtId="0" fontId="0" fillId="0" borderId="0" xfId="0" applyAlignment="1">
      <alignment vertical="center" wrapText="1"/>
    </xf>
    <xf numFmtId="0" fontId="9" fillId="0" borderId="0" xfId="0" applyFont="1" applyBorder="1" applyAlignment="1">
      <alignment horizontal="center" vertical="center"/>
    </xf>
    <xf numFmtId="9" fontId="9" fillId="0" borderId="0" xfId="0" applyNumberFormat="1" applyFont="1" applyBorder="1" applyAlignment="1">
      <alignment horizontal="center" vertical="center"/>
    </xf>
    <xf numFmtId="0" fontId="9" fillId="0" borderId="0" xfId="0" applyFont="1" applyFill="1" applyAlignment="1">
      <alignment horizontal="center" vertical="center"/>
    </xf>
    <xf numFmtId="0" fontId="9" fillId="0" borderId="0" xfId="0" applyFont="1" applyBorder="1" applyAlignment="1">
      <alignment horizontal="center" vertical="center" wrapText="1"/>
    </xf>
    <xf numFmtId="0" fontId="10" fillId="0" borderId="0" xfId="0" applyFont="1" applyBorder="1">
      <alignment vertical="center"/>
    </xf>
    <xf numFmtId="0" fontId="9" fillId="0" borderId="0" xfId="0" applyFont="1" applyBorder="1">
      <alignment vertical="center"/>
    </xf>
    <xf numFmtId="0" fontId="12" fillId="0" borderId="0" xfId="2" applyFont="1">
      <alignment vertical="center"/>
    </xf>
    <xf numFmtId="0" fontId="12" fillId="0" borderId="0" xfId="2" applyFont="1" applyAlignment="1">
      <alignment vertical="center" wrapText="1"/>
    </xf>
    <xf numFmtId="49" fontId="12" fillId="0" borderId="0" xfId="2" applyNumberFormat="1" applyFont="1" applyAlignment="1">
      <alignment vertical="center" wrapText="1"/>
    </xf>
    <xf numFmtId="10" fontId="12" fillId="0" borderId="0" xfId="3" applyNumberFormat="1" applyFont="1" applyFill="1" applyAlignment="1">
      <alignment horizontal="right" vertical="center" wrapText="1"/>
    </xf>
    <xf numFmtId="0" fontId="12" fillId="0" borderId="0" xfId="2" applyFont="1" applyFill="1" applyAlignment="1">
      <alignment vertical="center" wrapText="1"/>
    </xf>
    <xf numFmtId="0" fontId="12" fillId="0" borderId="0" xfId="2" applyFont="1" applyFill="1" applyAlignment="1">
      <alignment horizontal="left" vertical="center" wrapText="1"/>
    </xf>
    <xf numFmtId="58" fontId="12" fillId="0" borderId="0" xfId="2" applyNumberFormat="1" applyFont="1" applyFill="1" applyAlignment="1">
      <alignment vertical="center" wrapText="1"/>
    </xf>
    <xf numFmtId="49" fontId="13" fillId="0" borderId="0" xfId="2" applyNumberFormat="1" applyFont="1" applyFill="1" applyBorder="1" applyAlignment="1">
      <alignment horizontal="left" vertical="center" wrapText="1"/>
    </xf>
    <xf numFmtId="49" fontId="12" fillId="0" borderId="0" xfId="2" applyNumberFormat="1" applyFont="1" applyFill="1" applyBorder="1" applyAlignment="1">
      <alignment horizontal="left" vertical="center" wrapText="1"/>
    </xf>
    <xf numFmtId="49" fontId="13" fillId="0" borderId="0" xfId="2" applyNumberFormat="1" applyFont="1" applyAlignment="1">
      <alignment vertical="center" wrapText="1"/>
    </xf>
    <xf numFmtId="178" fontId="12" fillId="0" borderId="0" xfId="4" applyNumberFormat="1" applyFont="1" applyFill="1" applyAlignment="1">
      <alignment horizontal="right" vertical="center" wrapText="1"/>
    </xf>
    <xf numFmtId="179" fontId="12" fillId="0" borderId="0" xfId="2" applyNumberFormat="1" applyFont="1" applyFill="1" applyAlignment="1">
      <alignment horizontal="right" vertical="center" wrapText="1"/>
    </xf>
    <xf numFmtId="0" fontId="12" fillId="0" borderId="0" xfId="2" applyFont="1" applyFill="1">
      <alignment vertical="center"/>
    </xf>
    <xf numFmtId="49" fontId="15" fillId="0" borderId="0" xfId="2" applyNumberFormat="1" applyFont="1" applyFill="1" applyBorder="1" applyAlignment="1">
      <alignment horizontal="center" vertical="center" wrapText="1"/>
    </xf>
    <xf numFmtId="0" fontId="11" fillId="0" borderId="0" xfId="2" applyFont="1" applyFill="1">
      <alignment vertical="center"/>
    </xf>
    <xf numFmtId="0" fontId="12" fillId="0" borderId="0" xfId="2" applyNumberFormat="1" applyFont="1" applyFill="1" applyBorder="1" applyAlignment="1">
      <alignment horizontal="right" vertical="center" wrapText="1"/>
    </xf>
    <xf numFmtId="0" fontId="12" fillId="0" borderId="0" xfId="2" applyNumberFormat="1" applyFont="1" applyFill="1">
      <alignment vertical="center"/>
    </xf>
    <xf numFmtId="49" fontId="12" fillId="0" borderId="5" xfId="2" applyNumberFormat="1" applyFont="1" applyFill="1" applyBorder="1" applyAlignment="1">
      <alignment vertical="center" wrapText="1"/>
    </xf>
    <xf numFmtId="49" fontId="12" fillId="0" borderId="7" xfId="2" applyNumberFormat="1" applyFont="1" applyFill="1" applyBorder="1" applyAlignment="1">
      <alignment vertical="center" wrapText="1"/>
    </xf>
    <xf numFmtId="0" fontId="11" fillId="0" borderId="0" xfId="2" applyFont="1">
      <alignment vertical="center"/>
    </xf>
    <xf numFmtId="49" fontId="15" fillId="0" borderId="9" xfId="2" applyNumberFormat="1" applyFont="1" applyFill="1" applyBorder="1" applyAlignment="1">
      <alignment vertical="center" wrapText="1"/>
    </xf>
    <xf numFmtId="49" fontId="15" fillId="0" borderId="14" xfId="2" applyNumberFormat="1" applyFont="1" applyFill="1" applyBorder="1" applyAlignment="1">
      <alignment horizontal="center" vertical="center" wrapText="1"/>
    </xf>
    <xf numFmtId="49" fontId="13" fillId="0" borderId="17" xfId="2" applyNumberFormat="1" applyFont="1" applyFill="1" applyBorder="1" applyAlignment="1">
      <alignment horizontal="center" vertical="center" wrapText="1"/>
    </xf>
    <xf numFmtId="0" fontId="13" fillId="0" borderId="18" xfId="2" applyFont="1" applyFill="1" applyBorder="1" applyAlignment="1">
      <alignment horizontal="center" vertical="center" wrapText="1"/>
    </xf>
    <xf numFmtId="49" fontId="13" fillId="0" borderId="19" xfId="2" applyNumberFormat="1" applyFont="1" applyBorder="1" applyAlignment="1">
      <alignment vertical="center" wrapText="1"/>
    </xf>
    <xf numFmtId="49" fontId="12" fillId="0" borderId="0" xfId="2" applyNumberFormat="1" applyFont="1" applyFill="1" applyAlignment="1">
      <alignment horizontal="right" vertical="center" wrapText="1"/>
    </xf>
    <xf numFmtId="49" fontId="12" fillId="0" borderId="0" xfId="4" applyNumberFormat="1" applyFont="1" applyFill="1" applyAlignment="1">
      <alignment horizontal="right" vertical="center" wrapText="1"/>
    </xf>
    <xf numFmtId="49" fontId="12" fillId="0" borderId="0" xfId="3" applyNumberFormat="1" applyFont="1" applyFill="1" applyAlignment="1">
      <alignment horizontal="right" vertical="center" wrapText="1"/>
    </xf>
    <xf numFmtId="0" fontId="12" fillId="0" borderId="0" xfId="2" applyNumberFormat="1" applyFont="1" applyAlignment="1">
      <alignment vertical="center" wrapText="1"/>
    </xf>
    <xf numFmtId="0" fontId="13" fillId="0" borderId="19" xfId="2" applyNumberFormat="1" applyFont="1" applyBorder="1" applyAlignment="1">
      <alignment vertical="center" wrapText="1"/>
    </xf>
    <xf numFmtId="0" fontId="13" fillId="0" borderId="17" xfId="2" applyNumberFormat="1" applyFont="1" applyFill="1" applyBorder="1" applyAlignment="1">
      <alignment horizontal="center" vertical="center" wrapText="1"/>
    </xf>
    <xf numFmtId="0" fontId="15" fillId="0" borderId="14" xfId="2" applyNumberFormat="1" applyFont="1" applyFill="1" applyBorder="1" applyAlignment="1">
      <alignment horizontal="center" vertical="center" wrapText="1"/>
    </xf>
    <xf numFmtId="0" fontId="12" fillId="0" borderId="0" xfId="2" applyNumberFormat="1" applyFont="1" applyFill="1" applyBorder="1" applyAlignment="1">
      <alignment horizontal="left" vertical="center" wrapText="1"/>
    </xf>
    <xf numFmtId="0" fontId="15" fillId="0" borderId="0" xfId="2" applyNumberFormat="1" applyFont="1" applyFill="1" applyBorder="1" applyAlignment="1">
      <alignment horizontal="center" vertical="center" wrapText="1"/>
    </xf>
    <xf numFmtId="0" fontId="13" fillId="0" borderId="0" xfId="2" applyNumberFormat="1" applyFont="1" applyFill="1" applyBorder="1" applyAlignment="1">
      <alignment horizontal="left" vertical="center" wrapText="1"/>
    </xf>
    <xf numFmtId="0" fontId="12" fillId="0" borderId="0" xfId="2" applyNumberFormat="1" applyFont="1" applyFill="1" applyAlignment="1">
      <alignment horizontal="right" vertical="center" wrapText="1"/>
    </xf>
    <xf numFmtId="0" fontId="12" fillId="0" borderId="0" xfId="4" applyNumberFormat="1" applyFont="1" applyFill="1" applyAlignment="1">
      <alignment horizontal="right" vertical="center" wrapText="1"/>
    </xf>
    <xf numFmtId="0" fontId="12" fillId="0" borderId="0" xfId="3" applyNumberFormat="1" applyFont="1" applyFill="1" applyAlignment="1">
      <alignment horizontal="right" vertical="center" wrapText="1"/>
    </xf>
    <xf numFmtId="49" fontId="15" fillId="0" borderId="9" xfId="2" applyNumberFormat="1" applyFont="1" applyFill="1" applyBorder="1" applyAlignment="1">
      <alignment horizontal="center" vertical="center" wrapText="1"/>
    </xf>
    <xf numFmtId="49" fontId="11"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2" fillId="0" borderId="3" xfId="2" applyNumberFormat="1" applyFont="1" applyFill="1" applyBorder="1" applyAlignment="1">
      <alignment horizontal="left" vertical="center" wrapText="1"/>
    </xf>
    <xf numFmtId="49" fontId="12" fillId="0" borderId="0" xfId="2" applyNumberFormat="1" applyFont="1" applyAlignment="1">
      <alignment horizontal="left" vertical="center" wrapText="1"/>
    </xf>
    <xf numFmtId="49" fontId="18" fillId="0" borderId="0" xfId="2" applyNumberFormat="1" applyFont="1" applyFill="1" applyBorder="1" applyAlignment="1">
      <alignment horizontal="right" vertical="center" wrapText="1"/>
    </xf>
    <xf numFmtId="0" fontId="18" fillId="0" borderId="0" xfId="2" applyNumberFormat="1" applyFont="1" applyFill="1" applyBorder="1" applyAlignment="1">
      <alignment horizontal="right" vertical="center" wrapText="1"/>
    </xf>
    <xf numFmtId="0" fontId="12" fillId="0" borderId="0" xfId="5" applyFont="1">
      <alignment vertical="center"/>
    </xf>
    <xf numFmtId="0" fontId="12" fillId="0" borderId="0" xfId="5" applyFont="1" applyAlignment="1">
      <alignment vertical="center" wrapText="1"/>
    </xf>
    <xf numFmtId="49" fontId="12" fillId="0" borderId="0" xfId="5" applyNumberFormat="1" applyFont="1" applyAlignment="1">
      <alignment vertical="center" wrapText="1"/>
    </xf>
    <xf numFmtId="0" fontId="12" fillId="0" borderId="0" xfId="5" applyNumberFormat="1" applyFont="1" applyAlignment="1">
      <alignment vertical="center" wrapText="1"/>
    </xf>
    <xf numFmtId="10" fontId="12" fillId="0" borderId="0" xfId="6" applyNumberFormat="1" applyFont="1" applyFill="1" applyAlignment="1">
      <alignment horizontal="right" vertical="center" wrapText="1"/>
    </xf>
    <xf numFmtId="0" fontId="12" fillId="0" borderId="0" xfId="5" applyFont="1" applyFill="1" applyAlignment="1">
      <alignment vertical="center" wrapText="1"/>
    </xf>
    <xf numFmtId="0" fontId="12" fillId="0" borderId="0" xfId="5" applyFont="1" applyFill="1" applyAlignment="1">
      <alignment horizontal="left" vertical="center" wrapText="1"/>
    </xf>
    <xf numFmtId="58" fontId="12" fillId="0" borderId="0" xfId="5" applyNumberFormat="1" applyFont="1" applyFill="1" applyAlignment="1">
      <alignment vertical="center" wrapText="1"/>
    </xf>
    <xf numFmtId="49" fontId="13" fillId="0" borderId="0" xfId="5" applyNumberFormat="1" applyFont="1" applyFill="1" applyBorder="1" applyAlignment="1">
      <alignment horizontal="left" vertical="center" wrapText="1"/>
    </xf>
    <xf numFmtId="49" fontId="12" fillId="0" borderId="0"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3" xfId="5" applyNumberFormat="1" applyFont="1" applyFill="1" applyBorder="1" applyAlignment="1">
      <alignment horizontal="left" vertical="center" wrapText="1"/>
    </xf>
    <xf numFmtId="9" fontId="12" fillId="0" borderId="0" xfId="5" applyNumberFormat="1" applyFont="1" applyAlignment="1">
      <alignment vertical="center" wrapText="1"/>
    </xf>
    <xf numFmtId="49" fontId="13" fillId="0" borderId="0" xfId="5" applyNumberFormat="1" applyFont="1" applyAlignment="1">
      <alignment vertical="center" wrapText="1"/>
    </xf>
    <xf numFmtId="49" fontId="15" fillId="0" borderId="3" xfId="5" applyNumberFormat="1" applyFont="1" applyFill="1" applyBorder="1" applyAlignment="1">
      <alignment horizontal="center" vertical="center" wrapText="1"/>
    </xf>
    <xf numFmtId="49" fontId="12" fillId="0" borderId="0" xfId="5" applyNumberFormat="1" applyFont="1" applyAlignment="1">
      <alignment horizontal="left" vertical="center" wrapText="1"/>
    </xf>
    <xf numFmtId="0" fontId="12" fillId="0" borderId="0" xfId="6" applyNumberFormat="1" applyFont="1" applyFill="1" applyAlignment="1">
      <alignment horizontal="right" vertical="center" wrapText="1"/>
    </xf>
    <xf numFmtId="179" fontId="12" fillId="0" borderId="0" xfId="5" applyNumberFormat="1" applyFont="1" applyFill="1" applyAlignment="1">
      <alignment vertical="center" wrapText="1"/>
    </xf>
    <xf numFmtId="49" fontId="15" fillId="0" borderId="4" xfId="5" applyNumberFormat="1" applyFont="1" applyFill="1" applyBorder="1" applyAlignment="1">
      <alignment horizontal="center" vertical="center" wrapText="1"/>
    </xf>
    <xf numFmtId="178" fontId="12" fillId="0" borderId="0" xfId="7" applyNumberFormat="1" applyFont="1" applyFill="1" applyAlignment="1">
      <alignment horizontal="right" vertical="center" wrapText="1"/>
    </xf>
    <xf numFmtId="0" fontId="12" fillId="0" borderId="0" xfId="7" applyNumberFormat="1" applyFont="1" applyFill="1" applyAlignment="1">
      <alignment horizontal="right" vertical="center" wrapText="1"/>
    </xf>
    <xf numFmtId="179" fontId="12" fillId="0" borderId="0" xfId="5" applyNumberFormat="1" applyFont="1" applyFill="1" applyAlignment="1">
      <alignment horizontal="right" vertical="center" wrapText="1"/>
    </xf>
    <xf numFmtId="0" fontId="12" fillId="0" borderId="0" xfId="5" applyNumberFormat="1" applyFont="1" applyFill="1" applyAlignment="1">
      <alignment horizontal="right" vertical="center" wrapText="1"/>
    </xf>
    <xf numFmtId="49" fontId="12" fillId="0" borderId="0" xfId="5" applyNumberFormat="1" applyFont="1" applyFill="1" applyBorder="1" applyAlignment="1">
      <alignment vertical="center" wrapText="1"/>
    </xf>
    <xf numFmtId="0" fontId="13" fillId="0" borderId="0" xfId="5" applyNumberFormat="1" applyFont="1" applyFill="1" applyBorder="1" applyAlignment="1">
      <alignment horizontal="left" vertical="center" wrapText="1"/>
    </xf>
    <xf numFmtId="0" fontId="12" fillId="0" borderId="0"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2" fillId="0" borderId="3" xfId="5" applyNumberFormat="1" applyFont="1" applyFill="1" applyBorder="1" applyAlignment="1">
      <alignment vertical="center" wrapText="1"/>
    </xf>
    <xf numFmtId="0" fontId="12" fillId="0" borderId="5" xfId="5" applyNumberFormat="1" applyFont="1" applyFill="1" applyBorder="1" applyAlignment="1">
      <alignment horizontal="center" vertical="center" wrapText="1"/>
    </xf>
    <xf numFmtId="49" fontId="12" fillId="0" borderId="2" xfId="5" applyNumberFormat="1" applyFont="1" applyFill="1" applyBorder="1" applyAlignment="1">
      <alignment vertical="center" wrapText="1"/>
    </xf>
    <xf numFmtId="49" fontId="12" fillId="0" borderId="7" xfId="5" applyNumberFormat="1" applyFont="1" applyFill="1" applyBorder="1" applyAlignment="1">
      <alignment horizontal="left" vertical="center" wrapText="1"/>
    </xf>
    <xf numFmtId="0" fontId="12" fillId="0" borderId="7" xfId="5" applyNumberFormat="1" applyFont="1" applyFill="1" applyBorder="1" applyAlignment="1">
      <alignment horizontal="center" vertical="center" wrapText="1"/>
    </xf>
    <xf numFmtId="0" fontId="12" fillId="0" borderId="0" xfId="5" applyFont="1" applyFill="1">
      <alignment vertical="center"/>
    </xf>
    <xf numFmtId="49" fontId="15" fillId="0" borderId="7" xfId="5" applyNumberFormat="1" applyFont="1" applyFill="1" applyBorder="1" applyAlignment="1">
      <alignment horizontal="center" vertical="center" wrapText="1"/>
    </xf>
    <xf numFmtId="49" fontId="15" fillId="0" borderId="0" xfId="5" applyNumberFormat="1" applyFont="1" applyFill="1" applyBorder="1" applyAlignment="1">
      <alignment horizontal="center" vertical="center" wrapText="1"/>
    </xf>
    <xf numFmtId="180" fontId="12" fillId="0" borderId="0" xfId="5" applyNumberFormat="1" applyFont="1" applyFill="1" applyBorder="1" applyAlignment="1">
      <alignment horizontal="left" vertical="center" wrapText="1"/>
    </xf>
    <xf numFmtId="0" fontId="16" fillId="3" borderId="7" xfId="5" applyNumberFormat="1" applyFont="1" applyFill="1" applyBorder="1" applyAlignment="1">
      <alignment horizontal="center" vertical="center" wrapText="1"/>
    </xf>
    <xf numFmtId="9" fontId="16" fillId="3" borderId="3"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0" fontId="19" fillId="0" borderId="0" xfId="5" applyFont="1" applyFill="1">
      <alignment vertical="center"/>
    </xf>
    <xf numFmtId="0" fontId="15" fillId="0" borderId="0" xfId="5" applyNumberFormat="1" applyFont="1" applyFill="1" applyBorder="1" applyAlignment="1">
      <alignment horizontal="center" vertical="center" wrapText="1"/>
    </xf>
    <xf numFmtId="49" fontId="22" fillId="0" borderId="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0" fontId="12" fillId="0" borderId="0" xfId="5" applyNumberFormat="1" applyFont="1" applyFill="1" applyBorder="1" applyAlignment="1">
      <alignment horizontal="right" vertical="center" wrapText="1"/>
    </xf>
    <xf numFmtId="0" fontId="12" fillId="0" borderId="0" xfId="5" applyNumberFormat="1" applyFont="1" applyFill="1">
      <alignment vertical="center"/>
    </xf>
    <xf numFmtId="180" fontId="12" fillId="0" borderId="0" xfId="5" applyNumberFormat="1" applyFont="1" applyFill="1" applyBorder="1" applyAlignment="1">
      <alignment horizontal="right" vertical="center" wrapText="1"/>
    </xf>
    <xf numFmtId="49" fontId="12" fillId="0" borderId="11" xfId="5" applyNumberFormat="1" applyFont="1" applyFill="1" applyBorder="1" applyAlignment="1">
      <alignment horizontal="left" vertical="center" wrapText="1"/>
    </xf>
    <xf numFmtId="49" fontId="19" fillId="0" borderId="3" xfId="5" applyNumberFormat="1" applyFont="1" applyFill="1" applyBorder="1" applyAlignment="1">
      <alignment horizontal="left" vertical="center" wrapText="1"/>
    </xf>
    <xf numFmtId="0" fontId="12" fillId="0" borderId="11" xfId="5" applyFont="1" applyFill="1" applyBorder="1">
      <alignment vertical="center"/>
    </xf>
    <xf numFmtId="49" fontId="12" fillId="0" borderId="12" xfId="5" applyNumberFormat="1" applyFont="1" applyFill="1" applyBorder="1" applyAlignment="1">
      <alignment horizontal="left" vertical="center" wrapText="1"/>
    </xf>
    <xf numFmtId="49" fontId="12" fillId="0" borderId="5" xfId="5" applyNumberFormat="1" applyFont="1" applyFill="1" applyBorder="1" applyAlignment="1">
      <alignment vertical="center" wrapText="1"/>
    </xf>
    <xf numFmtId="49" fontId="12" fillId="0" borderId="13" xfId="5" applyNumberFormat="1" applyFont="1" applyFill="1" applyBorder="1" applyAlignment="1">
      <alignment vertical="center" wrapText="1"/>
    </xf>
    <xf numFmtId="49" fontId="12" fillId="0" borderId="7" xfId="5" applyNumberFormat="1" applyFont="1" applyFill="1" applyBorder="1" applyAlignment="1">
      <alignment vertical="center" wrapText="1"/>
    </xf>
    <xf numFmtId="49" fontId="12" fillId="0" borderId="11" xfId="5" applyNumberFormat="1" applyFont="1" applyFill="1" applyBorder="1" applyAlignment="1">
      <alignment vertical="center" wrapText="1"/>
    </xf>
    <xf numFmtId="0" fontId="19" fillId="0" borderId="0" xfId="5" applyFont="1">
      <alignment vertical="center"/>
    </xf>
    <xf numFmtId="49" fontId="15" fillId="0" borderId="9" xfId="5" applyNumberFormat="1" applyFont="1" applyFill="1" applyBorder="1" applyAlignment="1">
      <alignment vertical="center" wrapText="1"/>
    </xf>
    <xf numFmtId="49" fontId="15" fillId="0" borderId="12" xfId="5" applyNumberFormat="1" applyFont="1" applyFill="1" applyBorder="1" applyAlignment="1">
      <alignment vertical="center" wrapText="1"/>
    </xf>
    <xf numFmtId="49" fontId="15" fillId="0" borderId="14" xfId="5" applyNumberFormat="1" applyFont="1" applyFill="1" applyBorder="1" applyAlignment="1">
      <alignment horizontal="center" vertical="center" wrapText="1"/>
    </xf>
    <xf numFmtId="0" fontId="15" fillId="0" borderId="14" xfId="5" applyNumberFormat="1" applyFont="1" applyFill="1" applyBorder="1" applyAlignment="1">
      <alignment horizontal="center" vertical="center" wrapText="1"/>
    </xf>
    <xf numFmtId="49" fontId="13" fillId="0" borderId="17" xfId="5" applyNumberFormat="1" applyFont="1" applyFill="1" applyBorder="1" applyAlignment="1">
      <alignment horizontal="center" vertical="center" wrapText="1"/>
    </xf>
    <xf numFmtId="0" fontId="13" fillId="0" borderId="17" xfId="5" applyNumberFormat="1" applyFont="1" applyFill="1" applyBorder="1" applyAlignment="1">
      <alignment horizontal="center" vertical="center" wrapText="1"/>
    </xf>
    <xf numFmtId="0" fontId="13" fillId="0" borderId="18" xfId="5" applyFont="1" applyFill="1" applyBorder="1" applyAlignment="1">
      <alignment horizontal="center" vertical="center" wrapText="1"/>
    </xf>
    <xf numFmtId="49" fontId="13" fillId="0" borderId="19" xfId="5" applyNumberFormat="1" applyFont="1" applyBorder="1" applyAlignment="1">
      <alignment vertical="center" wrapText="1"/>
    </xf>
    <xf numFmtId="0" fontId="13" fillId="0" borderId="19" xfId="5" applyNumberFormat="1" applyFont="1" applyBorder="1" applyAlignment="1">
      <alignment vertical="center" wrapText="1"/>
    </xf>
    <xf numFmtId="0" fontId="12" fillId="0" borderId="0" xfId="2" applyNumberFormat="1" applyFont="1" applyFill="1" applyAlignment="1">
      <alignment vertical="center" wrapText="1"/>
    </xf>
    <xf numFmtId="0" fontId="12" fillId="0" borderId="0" xfId="2" applyNumberFormat="1" applyFont="1" applyFill="1" applyAlignment="1">
      <alignment horizontal="left" vertical="center" wrapText="1"/>
    </xf>
    <xf numFmtId="0" fontId="12" fillId="0" borderId="2" xfId="2" applyNumberFormat="1" applyFont="1" applyFill="1" applyBorder="1" applyAlignment="1">
      <alignment horizontal="left" vertical="center" wrapText="1"/>
    </xf>
    <xf numFmtId="0" fontId="12" fillId="0" borderId="3" xfId="2" applyNumberFormat="1" applyFont="1" applyFill="1" applyBorder="1" applyAlignment="1">
      <alignment horizontal="left" vertical="center" wrapText="1"/>
    </xf>
    <xf numFmtId="0" fontId="15" fillId="0" borderId="3" xfId="2" applyNumberFormat="1" applyFont="1" applyFill="1" applyBorder="1" applyAlignment="1">
      <alignment horizontal="center" vertical="center" wrapText="1"/>
    </xf>
    <xf numFmtId="0" fontId="15" fillId="0" borderId="4" xfId="2" applyNumberFormat="1" applyFont="1" applyFill="1" applyBorder="1" applyAlignment="1">
      <alignment horizontal="center" vertical="center" wrapText="1"/>
    </xf>
    <xf numFmtId="49" fontId="18" fillId="0" borderId="0" xfId="2" applyNumberFormat="1" applyFont="1" applyFill="1">
      <alignment vertical="center"/>
    </xf>
    <xf numFmtId="0" fontId="23" fillId="0" borderId="0" xfId="2" applyNumberFormat="1" applyFont="1" applyFill="1" applyBorder="1" applyAlignment="1">
      <alignment horizontal="center" vertical="center" wrapText="1"/>
    </xf>
    <xf numFmtId="49" fontId="23" fillId="0" borderId="0" xfId="2" applyNumberFormat="1" applyFont="1" applyFill="1" applyBorder="1" applyAlignment="1">
      <alignment horizontal="left" vertical="center" wrapText="1"/>
    </xf>
    <xf numFmtId="49" fontId="12" fillId="0" borderId="0" xfId="2" applyNumberFormat="1" applyFont="1" applyFill="1">
      <alignment vertical="center"/>
    </xf>
    <xf numFmtId="49" fontId="12" fillId="0" borderId="0" xfId="2" applyNumberFormat="1" applyFont="1" applyFill="1" applyBorder="1" applyAlignment="1">
      <alignment horizontal="right" vertical="center" wrapText="1"/>
    </xf>
    <xf numFmtId="0" fontId="12" fillId="0" borderId="11" xfId="2" applyNumberFormat="1" applyFont="1" applyFill="1" applyBorder="1" applyAlignment="1">
      <alignment horizontal="left" vertical="center" wrapText="1"/>
    </xf>
    <xf numFmtId="0" fontId="12" fillId="0" borderId="11" xfId="2" applyNumberFormat="1" applyFont="1" applyFill="1" applyBorder="1">
      <alignment vertical="center"/>
    </xf>
    <xf numFmtId="0" fontId="12" fillId="0" borderId="12" xfId="2" applyNumberFormat="1" applyFont="1" applyFill="1" applyBorder="1" applyAlignment="1">
      <alignment horizontal="left" vertical="center" wrapText="1"/>
    </xf>
    <xf numFmtId="0" fontId="12" fillId="0" borderId="13" xfId="2" applyNumberFormat="1" applyFont="1" applyFill="1" applyBorder="1" applyAlignment="1">
      <alignment vertical="center" wrapText="1"/>
    </xf>
    <xf numFmtId="0" fontId="12" fillId="0" borderId="11" xfId="2" applyNumberFormat="1" applyFont="1" applyFill="1" applyBorder="1" applyAlignment="1">
      <alignment vertical="center" wrapText="1"/>
    </xf>
    <xf numFmtId="0" fontId="15" fillId="0" borderId="12" xfId="2" applyNumberFormat="1" applyFont="1" applyFill="1" applyBorder="1" applyAlignment="1">
      <alignment vertical="center" wrapText="1"/>
    </xf>
    <xf numFmtId="0" fontId="12" fillId="0" borderId="0" xfId="2" applyNumberFormat="1" applyFont="1">
      <alignment vertical="center"/>
    </xf>
    <xf numFmtId="0" fontId="4" fillId="0" borderId="20" xfId="0" applyFont="1" applyBorder="1">
      <alignment vertical="center"/>
    </xf>
    <xf numFmtId="0" fontId="4" fillId="0" borderId="1" xfId="0" applyFont="1" applyFill="1" applyBorder="1">
      <alignment vertical="center"/>
    </xf>
    <xf numFmtId="0" fontId="4" fillId="0" borderId="1" xfId="0" applyFont="1" applyFill="1" applyBorder="1" applyAlignment="1">
      <alignment vertical="center" wrapText="1" shrinkToFit="1"/>
    </xf>
    <xf numFmtId="49" fontId="15" fillId="0" borderId="1" xfId="2" applyNumberFormat="1" applyFont="1" applyFill="1" applyBorder="1" applyAlignment="1">
      <alignment horizontal="center" vertical="center" wrapText="1"/>
    </xf>
    <xf numFmtId="49" fontId="12" fillId="0" borderId="1" xfId="2" applyNumberFormat="1" applyFont="1" applyFill="1" applyBorder="1" applyAlignment="1">
      <alignment horizontal="left" vertical="center" wrapText="1"/>
    </xf>
    <xf numFmtId="0" fontId="12" fillId="0" borderId="1" xfId="2" applyNumberFormat="1" applyFont="1" applyFill="1" applyBorder="1" applyAlignment="1">
      <alignment horizontal="right" vertical="center" wrapText="1"/>
    </xf>
    <xf numFmtId="0" fontId="12" fillId="0" borderId="1" xfId="2" applyNumberFormat="1" applyFont="1" applyFill="1" applyBorder="1">
      <alignment vertical="center"/>
    </xf>
    <xf numFmtId="0" fontId="12" fillId="0" borderId="1" xfId="2" applyFont="1" applyFill="1" applyBorder="1">
      <alignment vertical="center"/>
    </xf>
    <xf numFmtId="0" fontId="4" fillId="0" borderId="1" xfId="0" applyFont="1" applyFill="1" applyBorder="1" applyAlignment="1">
      <alignment horizontal="center" vertical="center"/>
    </xf>
    <xf numFmtId="49" fontId="12" fillId="0" borderId="1" xfId="5" applyNumberFormat="1" applyFont="1" applyFill="1" applyBorder="1" applyAlignment="1">
      <alignment vertical="center" wrapText="1"/>
    </xf>
    <xf numFmtId="0" fontId="12" fillId="0" borderId="1" xfId="5" applyNumberFormat="1" applyFont="1" applyFill="1" applyBorder="1" applyAlignment="1">
      <alignment horizontal="center" vertical="center" wrapText="1"/>
    </xf>
    <xf numFmtId="9" fontId="18" fillId="0" borderId="0" xfId="8" applyFont="1" applyFill="1">
      <alignment vertical="center"/>
    </xf>
    <xf numFmtId="9" fontId="4" fillId="0" borderId="1" xfId="0" applyNumberFormat="1" applyFont="1" applyBorder="1">
      <alignment vertical="center"/>
    </xf>
    <xf numFmtId="49" fontId="4" fillId="0" borderId="1" xfId="0" applyNumberFormat="1" applyFont="1" applyBorder="1" applyAlignment="1">
      <alignment horizontal="right" vertical="center"/>
    </xf>
    <xf numFmtId="0" fontId="6" fillId="0" borderId="1" xfId="0" applyFont="1" applyBorder="1">
      <alignment vertical="center"/>
    </xf>
    <xf numFmtId="0" fontId="6" fillId="0" borderId="1" xfId="0" applyNumberFormat="1" applyFont="1" applyBorder="1">
      <alignment vertical="center"/>
    </xf>
    <xf numFmtId="0" fontId="24" fillId="2" borderId="15" xfId="0" applyFont="1" applyFill="1" applyBorder="1" applyAlignment="1">
      <alignment horizontal="center" vertical="center" wrapText="1"/>
    </xf>
    <xf numFmtId="0" fontId="25" fillId="5" borderId="1" xfId="0" applyFont="1" applyFill="1" applyBorder="1">
      <alignment vertical="center"/>
    </xf>
    <xf numFmtId="0" fontId="26" fillId="0" borderId="0" xfId="0" applyFont="1" applyAlignment="1">
      <alignment horizontal="left"/>
    </xf>
    <xf numFmtId="181" fontId="4" fillId="0" borderId="0" xfId="0" applyNumberFormat="1" applyFont="1">
      <alignment vertical="center"/>
    </xf>
    <xf numFmtId="182" fontId="4" fillId="0" borderId="0" xfId="0" applyNumberFormat="1" applyFont="1">
      <alignment vertical="center"/>
    </xf>
    <xf numFmtId="0" fontId="6" fillId="5" borderId="0" xfId="0" applyFont="1" applyFill="1">
      <alignment vertical="center"/>
    </xf>
    <xf numFmtId="177" fontId="6" fillId="5" borderId="0" xfId="0" applyNumberFormat="1" applyFont="1" applyFill="1" applyAlignment="1">
      <alignment horizontal="right"/>
    </xf>
    <xf numFmtId="0" fontId="18" fillId="0" borderId="0" xfId="2" applyNumberFormat="1" applyFont="1" applyFill="1">
      <alignment vertical="center"/>
    </xf>
    <xf numFmtId="0" fontId="24" fillId="2" borderId="0" xfId="0" applyFont="1" applyFill="1" applyBorder="1" applyAlignment="1">
      <alignment horizontal="center" vertical="center" wrapText="1"/>
    </xf>
    <xf numFmtId="0" fontId="24" fillId="2" borderId="21" xfId="0" applyFont="1" applyFill="1" applyBorder="1" applyAlignment="1">
      <alignment horizontal="center" vertical="center" wrapText="1"/>
    </xf>
    <xf numFmtId="9" fontId="0" fillId="0" borderId="0" xfId="0" applyNumberFormat="1">
      <alignment vertical="center"/>
    </xf>
    <xf numFmtId="0" fontId="4" fillId="0" borderId="0" xfId="0" applyFont="1" applyFill="1" applyBorder="1">
      <alignment vertical="center"/>
    </xf>
    <xf numFmtId="10" fontId="0" fillId="0" borderId="0" xfId="0" applyNumberFormat="1">
      <alignment vertical="center"/>
    </xf>
    <xf numFmtId="10" fontId="4" fillId="0" borderId="1" xfId="8" applyNumberFormat="1" applyFont="1" applyBorder="1">
      <alignment vertical="center"/>
    </xf>
    <xf numFmtId="0" fontId="6" fillId="0" borderId="0" xfId="0" applyFont="1" applyBorder="1">
      <alignment vertical="center"/>
    </xf>
    <xf numFmtId="0" fontId="6" fillId="0" borderId="0" xfId="0" applyNumberFormat="1" applyFont="1" applyBorder="1">
      <alignment vertical="center"/>
    </xf>
    <xf numFmtId="0" fontId="25" fillId="5" borderId="0" xfId="0" applyFont="1" applyFill="1" applyBorder="1">
      <alignment vertical="center"/>
    </xf>
    <xf numFmtId="10" fontId="4" fillId="0" borderId="1" xfId="0" applyNumberFormat="1" applyFont="1" applyBorder="1">
      <alignment vertical="center"/>
    </xf>
    <xf numFmtId="0" fontId="4" fillId="6" borderId="0" xfId="0" applyFont="1" applyFill="1" applyBorder="1">
      <alignment vertical="center"/>
    </xf>
    <xf numFmtId="10" fontId="4" fillId="6" borderId="1" xfId="8" applyNumberFormat="1" applyFont="1" applyFill="1" applyBorder="1">
      <alignment vertical="center"/>
    </xf>
    <xf numFmtId="9" fontId="4" fillId="6" borderId="1" xfId="0" applyNumberFormat="1" applyFont="1" applyFill="1" applyBorder="1">
      <alignment vertical="center"/>
    </xf>
    <xf numFmtId="0" fontId="0" fillId="0" borderId="0" xfId="0" applyFill="1">
      <alignment vertical="center"/>
    </xf>
    <xf numFmtId="10" fontId="4" fillId="6" borderId="1" xfId="0" applyNumberFormat="1" applyFont="1" applyFill="1" applyBorder="1">
      <alignment vertical="center"/>
    </xf>
    <xf numFmtId="0" fontId="4" fillId="0" borderId="0" xfId="0" applyFont="1" applyFill="1" applyBorder="1" applyAlignment="1">
      <alignment vertical="center" wrapText="1"/>
    </xf>
    <xf numFmtId="0" fontId="27" fillId="7" borderId="19" xfId="0" applyFont="1" applyFill="1" applyBorder="1" applyAlignment="1">
      <alignment horizontal="center" vertical="center" wrapText="1"/>
    </xf>
    <xf numFmtId="0" fontId="4" fillId="6" borderId="1" xfId="0" applyFont="1" applyFill="1" applyBorder="1">
      <alignment vertical="center"/>
    </xf>
    <xf numFmtId="9" fontId="9" fillId="6" borderId="0" xfId="0" applyNumberFormat="1" applyFont="1" applyFill="1" applyBorder="1" applyAlignment="1">
      <alignment horizontal="center" vertical="center"/>
    </xf>
    <xf numFmtId="178" fontId="9" fillId="0" borderId="0" xfId="1" applyNumberFormat="1" applyFont="1" applyBorder="1" applyAlignment="1">
      <alignment horizontal="center" vertical="center"/>
    </xf>
    <xf numFmtId="178" fontId="0" fillId="0" borderId="0" xfId="1" applyNumberFormat="1" applyFont="1">
      <alignment vertical="center"/>
    </xf>
    <xf numFmtId="0" fontId="4" fillId="6" borderId="0" xfId="0" applyFont="1" applyFill="1" applyBorder="1" applyAlignment="1">
      <alignment vertical="center" wrapText="1"/>
    </xf>
    <xf numFmtId="0" fontId="6" fillId="0" borderId="1" xfId="0" applyFont="1" applyBorder="1" applyAlignment="1">
      <alignment horizontal="center" vertical="center"/>
    </xf>
    <xf numFmtId="0" fontId="30" fillId="0" borderId="3" xfId="0" applyFont="1" applyBorder="1" applyAlignment="1">
      <alignment horizontal="left" vertical="center" wrapText="1"/>
    </xf>
    <xf numFmtId="0" fontId="29" fillId="0" borderId="7" xfId="0" applyFont="1" applyBorder="1" applyAlignment="1">
      <alignment horizontal="center" vertical="center" wrapText="1"/>
    </xf>
    <xf numFmtId="0" fontId="27" fillId="7" borderId="8"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31" fillId="0" borderId="0" xfId="0" applyFont="1">
      <alignment vertical="center"/>
    </xf>
    <xf numFmtId="0" fontId="32" fillId="7" borderId="9"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9"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4" fillId="0" borderId="7" xfId="0" applyFont="1" applyBorder="1" applyAlignment="1">
      <alignment horizontal="left" vertical="center" wrapText="1"/>
    </xf>
    <xf numFmtId="0" fontId="34" fillId="0" borderId="5" xfId="0" applyFont="1" applyBorder="1" applyAlignment="1">
      <alignment horizontal="left" vertical="center" wrapText="1"/>
    </xf>
    <xf numFmtId="0" fontId="35" fillId="0" borderId="6" xfId="0" applyFont="1" applyBorder="1" applyAlignment="1">
      <alignment vertical="center" wrapText="1"/>
    </xf>
    <xf numFmtId="0" fontId="34" fillId="0" borderId="0" xfId="0" applyFont="1" applyAlignment="1">
      <alignment horizontal="left" vertical="center" wrapText="1"/>
    </xf>
    <xf numFmtId="0" fontId="34" fillId="0" borderId="19" xfId="0" applyFont="1" applyBorder="1" applyAlignment="1">
      <alignment horizontal="left" vertical="center" wrapText="1"/>
    </xf>
    <xf numFmtId="0" fontId="33" fillId="0" borderId="10" xfId="0" applyFont="1" applyBorder="1" applyAlignment="1">
      <alignment vertical="center" wrapText="1"/>
    </xf>
    <xf numFmtId="9" fontId="34" fillId="0" borderId="30" xfId="0" applyNumberFormat="1" applyFont="1" applyBorder="1" applyAlignment="1">
      <alignment vertical="center" wrapText="1"/>
    </xf>
    <xf numFmtId="0" fontId="33" fillId="0" borderId="8" xfId="0" applyFont="1" applyBorder="1" applyAlignment="1">
      <alignment vertical="center" wrapText="1"/>
    </xf>
    <xf numFmtId="9" fontId="34" fillId="0" borderId="8" xfId="0" applyNumberFormat="1" applyFont="1" applyBorder="1" applyAlignment="1">
      <alignment vertical="center" wrapText="1"/>
    </xf>
    <xf numFmtId="0" fontId="30" fillId="0" borderId="3" xfId="0" applyFont="1" applyBorder="1" applyAlignment="1">
      <alignment vertical="center" wrapText="1"/>
    </xf>
    <xf numFmtId="0" fontId="30" fillId="0" borderId="2" xfId="0" applyFont="1" applyBorder="1" applyAlignment="1">
      <alignment vertical="center" wrapText="1"/>
    </xf>
    <xf numFmtId="0" fontId="30" fillId="0" borderId="0" xfId="0" applyFont="1" applyBorder="1" applyAlignment="1">
      <alignment horizontal="left" vertical="center" wrapText="1"/>
    </xf>
    <xf numFmtId="0" fontId="30" fillId="0" borderId="19" xfId="0" applyFont="1" applyBorder="1" applyAlignment="1">
      <alignment horizontal="left" vertical="center" wrapText="1"/>
    </xf>
    <xf numFmtId="0" fontId="30" fillId="0" borderId="0" xfId="0" applyFont="1" applyBorder="1" applyAlignment="1">
      <alignment horizontal="center" vertical="center" wrapText="1"/>
    </xf>
    <xf numFmtId="0" fontId="30" fillId="0" borderId="4" xfId="0" applyFont="1" applyBorder="1" applyAlignment="1">
      <alignment horizontal="center" vertical="center" wrapText="1"/>
    </xf>
    <xf numFmtId="179" fontId="29" fillId="0" borderId="7" xfId="0" applyNumberFormat="1" applyFont="1" applyBorder="1" applyAlignment="1">
      <alignment horizontal="right" vertical="center" wrapText="1"/>
    </xf>
    <xf numFmtId="179" fontId="29" fillId="0" borderId="5" xfId="0" applyNumberFormat="1" applyFont="1" applyBorder="1" applyAlignment="1">
      <alignment horizontal="right" vertical="center" wrapText="1"/>
    </xf>
    <xf numFmtId="0" fontId="29" fillId="0" borderId="7" xfId="0" applyFont="1" applyBorder="1" applyAlignment="1">
      <alignment horizontal="right" vertical="center" wrapText="1"/>
    </xf>
    <xf numFmtId="180" fontId="30" fillId="0" borderId="3" xfId="0" applyNumberFormat="1" applyFont="1" applyBorder="1" applyAlignment="1">
      <alignment horizontal="right" vertical="top" wrapText="1"/>
    </xf>
    <xf numFmtId="180" fontId="30" fillId="0" borderId="3" xfId="0" applyNumberFormat="1" applyFont="1" applyBorder="1" applyAlignment="1">
      <alignment horizontal="right" vertical="center" wrapText="1"/>
    </xf>
    <xf numFmtId="180" fontId="30" fillId="0" borderId="2" xfId="0" applyNumberFormat="1" applyFont="1" applyBorder="1" applyAlignment="1">
      <alignment horizontal="right" vertical="center" wrapText="1"/>
    </xf>
    <xf numFmtId="0" fontId="30" fillId="0" borderId="5" xfId="0" applyFont="1" applyBorder="1" applyAlignment="1">
      <alignment horizontal="right" vertical="center" wrapText="1"/>
    </xf>
    <xf numFmtId="0" fontId="30" fillId="0" borderId="3" xfId="0" applyFont="1" applyBorder="1" applyAlignment="1">
      <alignment horizontal="center" vertical="center" wrapText="1"/>
    </xf>
    <xf numFmtId="0" fontId="30" fillId="0" borderId="2" xfId="0" applyFont="1" applyBorder="1" applyAlignment="1">
      <alignment horizontal="center" vertical="center" wrapText="1"/>
    </xf>
    <xf numFmtId="0" fontId="29" fillId="0" borderId="3" xfId="0" applyFont="1" applyBorder="1" applyAlignment="1">
      <alignment vertical="center" wrapText="1"/>
    </xf>
    <xf numFmtId="0" fontId="29" fillId="0" borderId="4" xfId="0" applyFont="1" applyBorder="1" applyAlignment="1">
      <alignment horizontal="center" vertical="center" wrapText="1"/>
    </xf>
    <xf numFmtId="0" fontId="29" fillId="0" borderId="2" xfId="0" applyFont="1" applyBorder="1" applyAlignment="1">
      <alignment vertical="center" wrapText="1"/>
    </xf>
    <xf numFmtId="0" fontId="29" fillId="0" borderId="0" xfId="0" applyFont="1" applyAlignment="1">
      <alignment horizontal="right" vertical="center" wrapText="1"/>
    </xf>
    <xf numFmtId="0" fontId="29" fillId="0" borderId="19" xfId="0" applyFont="1" applyBorder="1" applyAlignment="1">
      <alignment horizontal="right" vertical="center" wrapText="1"/>
    </xf>
    <xf numFmtId="0" fontId="4" fillId="0" borderId="0" xfId="0" applyFont="1" applyAlignment="1">
      <alignment horizontal="center" vertical="center"/>
    </xf>
    <xf numFmtId="0" fontId="29" fillId="0" borderId="0" xfId="0" applyFont="1" applyAlignment="1">
      <alignment horizontal="center" vertical="center" wrapText="1"/>
    </xf>
    <xf numFmtId="49" fontId="0" fillId="0" borderId="0" xfId="0" applyNumberFormat="1" applyAlignment="1">
      <alignment vertical="center" wrapText="1"/>
    </xf>
    <xf numFmtId="0" fontId="37" fillId="5" borderId="0" xfId="0" applyFont="1" applyFill="1" applyAlignment="1">
      <alignment horizontal="center" vertical="center"/>
    </xf>
    <xf numFmtId="0" fontId="37" fillId="5" borderId="0" xfId="0" applyFont="1" applyFill="1">
      <alignment vertical="center"/>
    </xf>
    <xf numFmtId="0" fontId="30" fillId="0" borderId="0" xfId="0" applyFont="1" applyBorder="1" applyAlignment="1">
      <alignment horizontal="center" vertical="center" wrapText="1"/>
    </xf>
    <xf numFmtId="0" fontId="37" fillId="5" borderId="0" xfId="0" applyFont="1" applyFill="1" applyAlignment="1">
      <alignment vertical="center" wrapText="1"/>
    </xf>
    <xf numFmtId="0" fontId="29" fillId="0" borderId="0" xfId="0" applyFont="1" applyBorder="1" applyAlignment="1">
      <alignment horizontal="center" vertical="center" wrapText="1"/>
    </xf>
    <xf numFmtId="0" fontId="30" fillId="0" borderId="0" xfId="0" applyFont="1" applyBorder="1" applyAlignment="1">
      <alignment vertical="center" wrapText="1"/>
    </xf>
    <xf numFmtId="9" fontId="29" fillId="0" borderId="0" xfId="0" applyNumberFormat="1" applyFont="1" applyBorder="1" applyAlignment="1">
      <alignment horizontal="center" vertical="center" wrapText="1"/>
    </xf>
    <xf numFmtId="0" fontId="27" fillId="7" borderId="35" xfId="0" applyFont="1" applyFill="1" applyBorder="1" applyAlignment="1">
      <alignment horizontal="center" vertical="center" wrapText="1"/>
    </xf>
    <xf numFmtId="0" fontId="27" fillId="7" borderId="36" xfId="0" applyFont="1" applyFill="1" applyBorder="1" applyAlignment="1">
      <alignment horizontal="center" vertical="center" wrapText="1"/>
    </xf>
    <xf numFmtId="0" fontId="28" fillId="0" borderId="37" xfId="0" applyFont="1" applyBorder="1" applyAlignment="1">
      <alignment horizontal="center" vertical="center" wrapText="1"/>
    </xf>
    <xf numFmtId="0" fontId="28" fillId="0" borderId="34" xfId="0" applyFont="1" applyBorder="1" applyAlignment="1">
      <alignment horizontal="center" vertical="center" wrapText="1"/>
    </xf>
    <xf numFmtId="9" fontId="29" fillId="0" borderId="34" xfId="0" applyNumberFormat="1" applyFont="1" applyBorder="1" applyAlignment="1">
      <alignment horizontal="center" vertical="center" wrapText="1"/>
    </xf>
    <xf numFmtId="0" fontId="30" fillId="0" borderId="34" xfId="0" applyFont="1" applyBorder="1" applyAlignment="1">
      <alignment horizontal="center" vertical="center" wrapText="1"/>
    </xf>
    <xf numFmtId="0" fontId="29" fillId="0" borderId="34" xfId="0" applyFont="1" applyBorder="1" applyAlignment="1">
      <alignment horizontal="center" vertical="center" wrapText="1"/>
    </xf>
    <xf numFmtId="0" fontId="27" fillId="7" borderId="35" xfId="0" applyFont="1" applyFill="1" applyBorder="1" applyAlignment="1">
      <alignment vertical="center" wrapText="1"/>
    </xf>
    <xf numFmtId="0" fontId="0" fillId="0" borderId="0" xfId="0" applyBorder="1" applyAlignment="1">
      <alignment vertical="center" wrapText="1"/>
    </xf>
    <xf numFmtId="9" fontId="0" fillId="0" borderId="0" xfId="0" applyNumberFormat="1" applyAlignment="1">
      <alignment vertical="center" wrapText="1"/>
    </xf>
    <xf numFmtId="49" fontId="37" fillId="5" borderId="0" xfId="0" applyNumberFormat="1" applyFont="1" applyFill="1" applyAlignment="1">
      <alignment vertical="center" wrapText="1"/>
    </xf>
    <xf numFmtId="49" fontId="0" fillId="0" borderId="0" xfId="0" applyNumberFormat="1" applyAlignment="1" applyProtection="1">
      <alignment vertical="center" wrapText="1"/>
      <protection locked="0"/>
    </xf>
    <xf numFmtId="0" fontId="30" fillId="0" borderId="39" xfId="0" applyFont="1" applyBorder="1">
      <alignment vertical="center"/>
    </xf>
    <xf numFmtId="0" fontId="30" fillId="0" borderId="20" xfId="0" applyFont="1" applyBorder="1">
      <alignment vertical="center"/>
    </xf>
    <xf numFmtId="49" fontId="30" fillId="0" borderId="39" xfId="0" applyNumberFormat="1" applyFont="1" applyBorder="1">
      <alignment vertical="center"/>
    </xf>
    <xf numFmtId="49" fontId="30" fillId="0" borderId="20" xfId="0" applyNumberFormat="1" applyFont="1" applyBorder="1">
      <alignment vertical="center"/>
    </xf>
    <xf numFmtId="176" fontId="30" fillId="0" borderId="0" xfId="0" applyNumberFormat="1" applyFont="1" applyBorder="1" applyAlignment="1">
      <alignment vertical="center" wrapText="1"/>
    </xf>
    <xf numFmtId="9" fontId="30" fillId="0" borderId="34" xfId="0" applyNumberFormat="1" applyFont="1" applyBorder="1" applyAlignment="1">
      <alignment horizontal="center" vertical="center" wrapText="1"/>
    </xf>
    <xf numFmtId="179" fontId="29" fillId="0" borderId="0" xfId="0" applyNumberFormat="1" applyFont="1" applyBorder="1" applyAlignment="1">
      <alignment horizontal="center" vertical="center" wrapText="1"/>
    </xf>
    <xf numFmtId="0" fontId="0" fillId="0" borderId="0" xfId="0" applyAlignment="1">
      <alignment horizontal="center" vertical="center"/>
    </xf>
    <xf numFmtId="0" fontId="6" fillId="0" borderId="0" xfId="0" applyFont="1" applyAlignment="1">
      <alignment horizontal="center" vertical="center"/>
    </xf>
    <xf numFmtId="0" fontId="8" fillId="0" borderId="0" xfId="0" applyFont="1" applyBorder="1" applyAlignment="1">
      <alignment horizontal="center" vertical="center"/>
    </xf>
    <xf numFmtId="0" fontId="4" fillId="0" borderId="1" xfId="0" applyFont="1" applyBorder="1" applyAlignment="1">
      <alignment horizontal="center" vertical="center"/>
    </xf>
    <xf numFmtId="49" fontId="17" fillId="0" borderId="0" xfId="5" applyNumberFormat="1" applyFont="1" applyAlignment="1">
      <alignment horizontal="left" vertical="center" wrapText="1"/>
    </xf>
    <xf numFmtId="49" fontId="13" fillId="0" borderId="16" xfId="5" applyNumberFormat="1" applyFont="1" applyFill="1" applyBorder="1" applyAlignment="1">
      <alignment horizontal="center" vertical="center" wrapText="1"/>
    </xf>
    <xf numFmtId="49" fontId="13" fillId="0" borderId="15" xfId="5" applyNumberFormat="1" applyFont="1" applyFill="1" applyBorder="1" applyAlignment="1">
      <alignment horizontal="center" vertical="center" wrapText="1"/>
    </xf>
    <xf numFmtId="49" fontId="13" fillId="0" borderId="4" xfId="5" applyNumberFormat="1" applyFont="1" applyFill="1" applyBorder="1" applyAlignment="1">
      <alignment horizontal="left" vertical="center" wrapText="1"/>
    </xf>
    <xf numFmtId="49" fontId="13" fillId="0" borderId="3" xfId="5" applyNumberFormat="1" applyFont="1" applyFill="1" applyBorder="1" applyAlignment="1">
      <alignment horizontal="left" vertical="center" wrapText="1"/>
    </xf>
    <xf numFmtId="49" fontId="13" fillId="0" borderId="2" xfId="5" applyNumberFormat="1" applyFont="1" applyFill="1" applyBorder="1" applyAlignment="1">
      <alignment horizontal="left" vertical="center" wrapText="1"/>
    </xf>
    <xf numFmtId="49" fontId="15" fillId="0" borderId="4" xfId="5" applyNumberFormat="1" applyFont="1" applyFill="1" applyBorder="1" applyAlignment="1">
      <alignment horizontal="center" vertical="center" wrapText="1"/>
    </xf>
    <xf numFmtId="49" fontId="15" fillId="0" borderId="9" xfId="5" applyNumberFormat="1" applyFont="1" applyFill="1" applyBorder="1" applyAlignment="1">
      <alignment horizontal="center" vertical="center" wrapText="1"/>
    </xf>
    <xf numFmtId="49" fontId="19" fillId="0" borderId="3" xfId="5" applyNumberFormat="1" applyFont="1" applyFill="1" applyBorder="1" applyAlignment="1">
      <alignment horizontal="left" vertical="center" wrapText="1"/>
    </xf>
    <xf numFmtId="49" fontId="12" fillId="0" borderId="7" xfId="5" applyNumberFormat="1" applyFont="1" applyFill="1" applyBorder="1" applyAlignment="1">
      <alignment horizontal="left" vertical="center" wrapText="1"/>
    </xf>
    <xf numFmtId="49" fontId="12" fillId="0" borderId="2" xfId="5" applyNumberFormat="1" applyFont="1" applyFill="1" applyBorder="1" applyAlignment="1">
      <alignment horizontal="left" vertical="center" wrapText="1"/>
    </xf>
    <xf numFmtId="49" fontId="12" fillId="0" borderId="5" xfId="5" applyNumberFormat="1" applyFont="1" applyFill="1" applyBorder="1" applyAlignment="1">
      <alignment horizontal="left" vertical="center" wrapText="1"/>
    </xf>
    <xf numFmtId="49" fontId="13" fillId="0" borderId="10" xfId="5" applyNumberFormat="1" applyFont="1" applyFill="1" applyBorder="1" applyAlignment="1">
      <alignment horizontal="left" vertical="center" wrapText="1"/>
    </xf>
    <xf numFmtId="49" fontId="13" fillId="0" borderId="8" xfId="5" applyNumberFormat="1" applyFont="1" applyFill="1" applyBorder="1" applyAlignment="1">
      <alignment horizontal="left" vertical="center" wrapText="1"/>
    </xf>
    <xf numFmtId="49" fontId="12" fillId="0" borderId="3" xfId="5" applyNumberFormat="1" applyFont="1" applyFill="1" applyBorder="1" applyAlignment="1">
      <alignment horizontal="left" vertical="center" wrapText="1"/>
    </xf>
    <xf numFmtId="10" fontId="12" fillId="0" borderId="0" xfId="6" applyNumberFormat="1" applyFont="1" applyFill="1" applyAlignment="1">
      <alignment horizontal="center" vertical="center" wrapText="1"/>
    </xf>
    <xf numFmtId="49" fontId="12" fillId="0" borderId="0" xfId="5" applyNumberFormat="1" applyFont="1" applyAlignment="1">
      <alignment horizontal="left" vertical="center" wrapText="1"/>
    </xf>
    <xf numFmtId="49" fontId="13" fillId="0" borderId="6" xfId="5" applyNumberFormat="1" applyFont="1" applyFill="1" applyBorder="1" applyAlignment="1">
      <alignment horizontal="left" vertical="center" wrapText="1"/>
    </xf>
    <xf numFmtId="49" fontId="18" fillId="4" borderId="0" xfId="2" applyNumberFormat="1" applyFont="1" applyFill="1" applyBorder="1" applyAlignment="1">
      <alignment horizontal="center" vertical="center" wrapText="1"/>
    </xf>
    <xf numFmtId="10" fontId="12" fillId="0" borderId="0" xfId="3" applyNumberFormat="1" applyFont="1" applyFill="1" applyAlignment="1">
      <alignment horizontal="center" vertical="center" wrapText="1"/>
    </xf>
    <xf numFmtId="49" fontId="12" fillId="0" borderId="3" xfId="2" applyNumberFormat="1" applyFont="1" applyFill="1" applyBorder="1" applyAlignment="1">
      <alignment horizontal="center" vertical="center" wrapText="1"/>
    </xf>
    <xf numFmtId="49" fontId="12" fillId="0" borderId="0" xfId="2" applyNumberFormat="1" applyFont="1" applyFill="1" applyBorder="1" applyAlignment="1">
      <alignment horizontal="center" vertical="center" wrapText="1"/>
    </xf>
    <xf numFmtId="49" fontId="12" fillId="0" borderId="0" xfId="2" applyNumberFormat="1" applyFont="1" applyAlignment="1">
      <alignment horizontal="left" vertical="center" wrapText="1"/>
    </xf>
    <xf numFmtId="49" fontId="12" fillId="0" borderId="3" xfId="2" applyNumberFormat="1" applyFont="1" applyFill="1" applyBorder="1" applyAlignment="1">
      <alignment horizontal="left" vertical="center" wrapText="1"/>
    </xf>
    <xf numFmtId="49" fontId="12" fillId="0" borderId="7" xfId="2" applyNumberFormat="1" applyFont="1" applyFill="1" applyBorder="1" applyAlignment="1">
      <alignment horizontal="left" vertical="center" wrapText="1"/>
    </xf>
    <xf numFmtId="179" fontId="12" fillId="0" borderId="0" xfId="2" applyNumberFormat="1" applyFont="1" applyFill="1" applyAlignment="1">
      <alignment horizontal="center" vertical="center" wrapText="1"/>
    </xf>
    <xf numFmtId="49" fontId="12" fillId="0" borderId="2" xfId="2" applyNumberFormat="1" applyFont="1" applyFill="1" applyBorder="1" applyAlignment="1">
      <alignment horizontal="left" vertical="center" wrapText="1"/>
    </xf>
    <xf numFmtId="49" fontId="12" fillId="0" borderId="5" xfId="2" applyNumberFormat="1" applyFont="1" applyFill="1" applyBorder="1" applyAlignment="1">
      <alignment horizontal="left" vertical="center" wrapText="1"/>
    </xf>
    <xf numFmtId="49" fontId="13" fillId="0" borderId="10" xfId="2" applyNumberFormat="1" applyFont="1" applyFill="1" applyBorder="1" applyAlignment="1">
      <alignment horizontal="left" vertical="center" wrapText="1"/>
    </xf>
    <xf numFmtId="49" fontId="13" fillId="0" borderId="8" xfId="2" applyNumberFormat="1" applyFont="1" applyFill="1" applyBorder="1" applyAlignment="1">
      <alignment horizontal="left" vertical="center" wrapText="1"/>
    </xf>
    <xf numFmtId="49" fontId="13" fillId="0" borderId="6" xfId="2" applyNumberFormat="1" applyFont="1" applyFill="1" applyBorder="1" applyAlignment="1">
      <alignment horizontal="left" vertical="center" wrapText="1"/>
    </xf>
    <xf numFmtId="49" fontId="15" fillId="0" borderId="4" xfId="2" applyNumberFormat="1" applyFont="1" applyFill="1" applyBorder="1" applyAlignment="1">
      <alignment horizontal="center" vertical="center" wrapText="1"/>
    </xf>
    <xf numFmtId="49" fontId="15" fillId="0" borderId="9" xfId="2" applyNumberFormat="1" applyFont="1" applyFill="1" applyBorder="1" applyAlignment="1">
      <alignment horizontal="center" vertical="center" wrapText="1"/>
    </xf>
    <xf numFmtId="49" fontId="17" fillId="0" borderId="0" xfId="2" applyNumberFormat="1" applyFont="1" applyAlignment="1">
      <alignment horizontal="left" vertical="center" wrapText="1"/>
    </xf>
    <xf numFmtId="49" fontId="13" fillId="0" borderId="16" xfId="2" applyNumberFormat="1" applyFont="1" applyFill="1" applyBorder="1" applyAlignment="1">
      <alignment horizontal="center" vertical="center" wrapText="1"/>
    </xf>
    <xf numFmtId="49" fontId="13" fillId="0" borderId="15" xfId="2" applyNumberFormat="1" applyFont="1" applyFill="1" applyBorder="1" applyAlignment="1">
      <alignment horizontal="center" vertical="center" wrapText="1"/>
    </xf>
    <xf numFmtId="49" fontId="13" fillId="0" borderId="4" xfId="2" applyNumberFormat="1" applyFont="1" applyFill="1" applyBorder="1" applyAlignment="1">
      <alignment horizontal="left" vertical="center" wrapText="1"/>
    </xf>
    <xf numFmtId="49" fontId="13" fillId="0" borderId="3" xfId="2" applyNumberFormat="1" applyFont="1" applyFill="1" applyBorder="1" applyAlignment="1">
      <alignment horizontal="left" vertical="center" wrapText="1"/>
    </xf>
    <xf numFmtId="49" fontId="13" fillId="0" borderId="2" xfId="2" applyNumberFormat="1" applyFont="1" applyFill="1" applyBorder="1" applyAlignment="1">
      <alignment horizontal="left" vertical="center" wrapText="1"/>
    </xf>
    <xf numFmtId="49" fontId="11" fillId="0" borderId="3" xfId="2" applyNumberFormat="1" applyFont="1" applyFill="1" applyBorder="1" applyAlignment="1">
      <alignment horizontal="left" vertical="center" wrapText="1"/>
    </xf>
    <xf numFmtId="0" fontId="37" fillId="7" borderId="37" xfId="0" applyFont="1" applyFill="1" applyBorder="1" applyAlignment="1">
      <alignment horizontal="center" vertical="center"/>
    </xf>
    <xf numFmtId="0" fontId="37" fillId="7" borderId="21" xfId="0" applyFont="1" applyFill="1" applyBorder="1" applyAlignment="1">
      <alignment horizontal="center" vertical="center"/>
    </xf>
    <xf numFmtId="0" fontId="28" fillId="0" borderId="10" xfId="0" applyFont="1" applyBorder="1" applyAlignment="1">
      <alignment horizontal="center" vertical="center" wrapText="1"/>
    </xf>
    <xf numFmtId="0" fontId="28" fillId="0" borderId="8" xfId="0" applyFont="1" applyBorder="1" applyAlignment="1">
      <alignment horizontal="center" vertical="center" wrapText="1"/>
    </xf>
    <xf numFmtId="0" fontId="28" fillId="0" borderId="22" xfId="0" applyFont="1" applyBorder="1" applyAlignment="1">
      <alignment horizontal="center" vertical="center" wrapText="1"/>
    </xf>
    <xf numFmtId="9" fontId="29" fillId="0" borderId="8" xfId="0" applyNumberFormat="1" applyFont="1" applyBorder="1" applyAlignment="1">
      <alignment horizontal="center" vertical="center" wrapText="1"/>
    </xf>
    <xf numFmtId="9" fontId="29" fillId="0" borderId="22" xfId="0" applyNumberFormat="1" applyFont="1" applyBorder="1" applyAlignment="1">
      <alignment horizontal="center" vertical="center" wrapText="1"/>
    </xf>
    <xf numFmtId="0" fontId="30" fillId="0" borderId="14" xfId="0" applyFont="1" applyBorder="1" applyAlignment="1">
      <alignment horizontal="center" vertical="center" wrapText="1"/>
    </xf>
    <xf numFmtId="0" fontId="30" fillId="0" borderId="26" xfId="0" applyFont="1" applyBorder="1" applyAlignment="1">
      <alignment horizontal="center" vertical="center" wrapText="1"/>
    </xf>
    <xf numFmtId="180" fontId="30" fillId="0" borderId="0" xfId="0" applyNumberFormat="1" applyFont="1" applyBorder="1" applyAlignment="1">
      <alignment horizontal="center" vertical="top" wrapText="1"/>
    </xf>
    <xf numFmtId="180" fontId="30" fillId="0" borderId="24" xfId="0" applyNumberFormat="1" applyFont="1" applyBorder="1" applyAlignment="1">
      <alignment horizontal="center" vertical="top" wrapText="1"/>
    </xf>
    <xf numFmtId="180" fontId="30" fillId="0" borderId="0" xfId="0" applyNumberFormat="1" applyFont="1" applyBorder="1" applyAlignment="1">
      <alignment horizontal="center" vertical="center" wrapText="1"/>
    </xf>
    <xf numFmtId="180" fontId="30" fillId="0" borderId="24" xfId="0" applyNumberFormat="1" applyFont="1" applyBorder="1" applyAlignment="1">
      <alignment horizontal="center" vertical="center" wrapText="1"/>
    </xf>
    <xf numFmtId="0" fontId="30" fillId="0" borderId="0" xfId="0" applyFont="1" applyBorder="1" applyAlignment="1">
      <alignment horizontal="center" vertical="center" wrapText="1"/>
    </xf>
    <xf numFmtId="0" fontId="30" fillId="0" borderId="24" xfId="0" applyFont="1" applyBorder="1" applyAlignment="1">
      <alignment horizontal="center" vertical="center" wrapText="1"/>
    </xf>
    <xf numFmtId="0" fontId="30" fillId="0" borderId="19" xfId="0" applyFont="1" applyBorder="1" applyAlignment="1">
      <alignment horizontal="center" vertical="center" wrapText="1"/>
    </xf>
    <xf numFmtId="0" fontId="30" fillId="0" borderId="25" xfId="0" applyFont="1" applyBorder="1" applyAlignment="1">
      <alignment horizontal="center" vertical="center" wrapText="1"/>
    </xf>
    <xf numFmtId="0" fontId="28" fillId="0" borderId="6" xfId="0" applyFont="1" applyBorder="1" applyAlignment="1">
      <alignment horizontal="center" vertical="center" wrapText="1"/>
    </xf>
    <xf numFmtId="9" fontId="29" fillId="0" borderId="6" xfId="0" applyNumberFormat="1" applyFont="1" applyBorder="1" applyAlignment="1">
      <alignment horizontal="center" vertical="center" wrapText="1"/>
    </xf>
    <xf numFmtId="0" fontId="28" fillId="0" borderId="30" xfId="0" applyFont="1" applyBorder="1" applyAlignment="1">
      <alignment horizontal="center" vertical="center" wrapText="1"/>
    </xf>
    <xf numFmtId="9" fontId="29" fillId="0" borderId="30" xfId="0" applyNumberFormat="1" applyFont="1" applyBorder="1" applyAlignment="1">
      <alignment horizontal="center" vertical="center" wrapText="1"/>
    </xf>
    <xf numFmtId="0" fontId="30" fillId="0" borderId="10" xfId="0" applyFont="1" applyBorder="1" applyAlignment="1">
      <alignment horizontal="left" vertical="center" wrapText="1"/>
    </xf>
    <xf numFmtId="0" fontId="30" fillId="0" borderId="8" xfId="0" applyFont="1" applyBorder="1" applyAlignment="1">
      <alignment horizontal="left" vertical="center" wrapText="1"/>
    </xf>
    <xf numFmtId="0" fontId="30" fillId="0" borderId="22" xfId="0" applyFont="1" applyBorder="1" applyAlignment="1">
      <alignment horizontal="left" vertical="center" wrapText="1"/>
    </xf>
    <xf numFmtId="0" fontId="30" fillId="0" borderId="6" xfId="0" applyFont="1" applyBorder="1" applyAlignment="1">
      <alignment horizontal="left" vertical="center" wrapText="1"/>
    </xf>
    <xf numFmtId="0" fontId="30" fillId="0" borderId="30" xfId="0" applyFont="1" applyBorder="1" applyAlignment="1">
      <alignment horizontal="center" vertical="center" wrapText="1"/>
    </xf>
    <xf numFmtId="0" fontId="30" fillId="0" borderId="8" xfId="0" applyFont="1" applyBorder="1" applyAlignment="1">
      <alignment horizontal="center" vertical="center" wrapText="1"/>
    </xf>
    <xf numFmtId="0" fontId="30" fillId="0" borderId="22" xfId="0" applyFont="1" applyBorder="1" applyAlignment="1">
      <alignment horizontal="center" vertical="center" wrapText="1"/>
    </xf>
    <xf numFmtId="0" fontId="30" fillId="0" borderId="30" xfId="0" applyFont="1" applyBorder="1" applyAlignment="1">
      <alignment horizontal="left" vertical="center" wrapText="1"/>
    </xf>
    <xf numFmtId="9" fontId="29" fillId="0" borderId="10" xfId="0" applyNumberFormat="1" applyFont="1" applyBorder="1" applyAlignment="1">
      <alignment horizontal="center" vertical="center" wrapText="1"/>
    </xf>
    <xf numFmtId="9" fontId="29" fillId="0" borderId="31" xfId="0" applyNumberFormat="1" applyFont="1" applyBorder="1" applyAlignment="1">
      <alignment horizontal="center" vertical="center" wrapText="1"/>
    </xf>
    <xf numFmtId="9" fontId="29" fillId="0" borderId="28" xfId="0" applyNumberFormat="1" applyFont="1" applyBorder="1" applyAlignment="1">
      <alignment horizontal="center" vertical="center" wrapText="1"/>
    </xf>
    <xf numFmtId="9" fontId="29" fillId="0" borderId="29" xfId="0" applyNumberFormat="1" applyFont="1" applyBorder="1" applyAlignment="1">
      <alignment horizontal="center" vertical="center" wrapText="1"/>
    </xf>
    <xf numFmtId="0" fontId="29" fillId="0" borderId="10" xfId="0" applyFont="1" applyBorder="1" applyAlignment="1">
      <alignment horizontal="center" vertical="center" wrapText="1"/>
    </xf>
    <xf numFmtId="0" fontId="29" fillId="0" borderId="8" xfId="0" applyFont="1" applyBorder="1" applyAlignment="1">
      <alignment horizontal="center" vertical="center" wrapText="1"/>
    </xf>
    <xf numFmtId="0" fontId="29" fillId="0" borderId="6" xfId="0" applyFont="1" applyBorder="1" applyAlignment="1">
      <alignment horizontal="center" vertical="center" wrapText="1"/>
    </xf>
    <xf numFmtId="0" fontId="30" fillId="0" borderId="0" xfId="0" applyFont="1" applyBorder="1" applyAlignment="1">
      <alignment horizontal="right" vertical="center" wrapText="1"/>
    </xf>
    <xf numFmtId="0" fontId="30" fillId="0" borderId="24" xfId="0" applyFont="1" applyBorder="1" applyAlignment="1">
      <alignment horizontal="right" vertical="center" wrapText="1"/>
    </xf>
    <xf numFmtId="0" fontId="30" fillId="0" borderId="19" xfId="0" applyFont="1" applyBorder="1" applyAlignment="1">
      <alignment horizontal="right" vertical="center" wrapText="1"/>
    </xf>
    <xf numFmtId="0" fontId="30" fillId="0" borderId="25" xfId="0" applyFont="1" applyBorder="1" applyAlignment="1">
      <alignment horizontal="right" vertical="center" wrapText="1"/>
    </xf>
    <xf numFmtId="0" fontId="30" fillId="0" borderId="6" xfId="0" applyFont="1" applyBorder="1" applyAlignment="1">
      <alignment horizontal="center" vertical="center" wrapText="1"/>
    </xf>
    <xf numFmtId="0" fontId="29" fillId="0" borderId="30" xfId="0" applyFont="1" applyBorder="1" applyAlignment="1">
      <alignment horizontal="center" vertical="center" wrapText="1"/>
    </xf>
    <xf numFmtId="0" fontId="29" fillId="0" borderId="22" xfId="0" applyFont="1" applyBorder="1" applyAlignment="1">
      <alignment horizontal="center" vertical="center" wrapText="1"/>
    </xf>
    <xf numFmtId="9" fontId="29" fillId="0" borderId="27" xfId="0" applyNumberFormat="1" applyFont="1" applyBorder="1" applyAlignment="1">
      <alignment horizontal="center" vertical="center" wrapText="1"/>
    </xf>
    <xf numFmtId="0" fontId="30" fillId="0" borderId="10"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7" xfId="0" applyFont="1" applyBorder="1" applyAlignment="1">
      <alignment horizontal="center" vertical="center" wrapText="1"/>
    </xf>
    <xf numFmtId="0" fontId="29" fillId="0" borderId="23" xfId="0" applyFont="1" applyBorder="1" applyAlignment="1">
      <alignment horizontal="center" vertical="center" wrapText="1"/>
    </xf>
    <xf numFmtId="0" fontId="29" fillId="0" borderId="0" xfId="0" applyFont="1" applyBorder="1" applyAlignment="1">
      <alignment horizontal="right" vertical="center" wrapText="1"/>
    </xf>
    <xf numFmtId="0" fontId="29" fillId="0" borderId="24" xfId="0" applyFont="1" applyBorder="1" applyAlignment="1">
      <alignment horizontal="right" vertical="center" wrapText="1"/>
    </xf>
    <xf numFmtId="49" fontId="29" fillId="0" borderId="30" xfId="0" applyNumberFormat="1" applyFont="1" applyBorder="1" applyAlignment="1">
      <alignment horizontal="center" vertical="center" wrapText="1"/>
    </xf>
    <xf numFmtId="49" fontId="29" fillId="0" borderId="8" xfId="0" applyNumberFormat="1" applyFont="1" applyBorder="1" applyAlignment="1">
      <alignment horizontal="center" vertical="center" wrapText="1"/>
    </xf>
    <xf numFmtId="49" fontId="29" fillId="0" borderId="22" xfId="0" applyNumberFormat="1" applyFont="1" applyBorder="1" applyAlignment="1">
      <alignment horizontal="center" vertical="center" wrapText="1"/>
    </xf>
    <xf numFmtId="0" fontId="29" fillId="0" borderId="19" xfId="0" applyFont="1" applyBorder="1" applyAlignment="1">
      <alignment horizontal="right" vertical="center" wrapText="1"/>
    </xf>
    <xf numFmtId="0" fontId="29" fillId="0" borderId="25" xfId="0" applyFont="1" applyBorder="1" applyAlignment="1">
      <alignment horizontal="right" vertical="center" wrapText="1"/>
    </xf>
    <xf numFmtId="0" fontId="29" fillId="0" borderId="14" xfId="0" applyFont="1" applyBorder="1" applyAlignment="1">
      <alignment horizontal="center" vertical="center" wrapText="1"/>
    </xf>
    <xf numFmtId="0" fontId="29" fillId="0" borderId="26" xfId="0" applyFont="1" applyBorder="1" applyAlignment="1">
      <alignment horizontal="center" vertical="center" wrapText="1"/>
    </xf>
    <xf numFmtId="0" fontId="27" fillId="7" borderId="10" xfId="0" applyFont="1" applyFill="1" applyBorder="1" applyAlignment="1">
      <alignment horizontal="center" vertical="center" wrapText="1"/>
    </xf>
    <xf numFmtId="0" fontId="27" fillId="7" borderId="6" xfId="0" applyFont="1" applyFill="1" applyBorder="1" applyAlignment="1">
      <alignment horizontal="center" vertical="center" wrapText="1"/>
    </xf>
    <xf numFmtId="0" fontId="27" fillId="7" borderId="33" xfId="0" applyFont="1" applyFill="1" applyBorder="1" applyAlignment="1">
      <alignment horizontal="center" vertical="center" wrapText="1"/>
    </xf>
    <xf numFmtId="0" fontId="27" fillId="7" borderId="4" xfId="0" applyFont="1" applyFill="1" applyBorder="1" applyAlignment="1">
      <alignment horizontal="center" vertical="center" wrapText="1"/>
    </xf>
    <xf numFmtId="0" fontId="27" fillId="7" borderId="14" xfId="0" applyFont="1" applyFill="1" applyBorder="1" applyAlignment="1">
      <alignment horizontal="center" vertical="center" wrapText="1"/>
    </xf>
    <xf numFmtId="0" fontId="27" fillId="7" borderId="9" xfId="0" applyFont="1" applyFill="1" applyBorder="1" applyAlignment="1">
      <alignment horizontal="center" vertical="center" wrapText="1"/>
    </xf>
    <xf numFmtId="0" fontId="27" fillId="7" borderId="2" xfId="0" applyFont="1" applyFill="1" applyBorder="1" applyAlignment="1">
      <alignment horizontal="center" vertical="center" wrapText="1"/>
    </xf>
    <xf numFmtId="0" fontId="27" fillId="7" borderId="19" xfId="0" applyFont="1" applyFill="1" applyBorder="1" applyAlignment="1">
      <alignment horizontal="center" vertical="center" wrapText="1"/>
    </xf>
    <xf numFmtId="0" fontId="27" fillId="7" borderId="5" xfId="0" applyFont="1" applyFill="1" applyBorder="1" applyAlignment="1">
      <alignment horizontal="center" vertical="center" wrapText="1"/>
    </xf>
    <xf numFmtId="0" fontId="27" fillId="7" borderId="16" xfId="0" applyFont="1" applyFill="1" applyBorder="1" applyAlignment="1">
      <alignment horizontal="center" vertical="center" wrapText="1"/>
    </xf>
    <xf numFmtId="0" fontId="27" fillId="7" borderId="15" xfId="0" applyFont="1" applyFill="1" applyBorder="1" applyAlignment="1">
      <alignment horizontal="center" vertical="center" wrapText="1"/>
    </xf>
    <xf numFmtId="0" fontId="27" fillId="7" borderId="22" xfId="0" applyFont="1" applyFill="1" applyBorder="1" applyAlignment="1">
      <alignment horizontal="center" vertical="center" wrapText="1"/>
    </xf>
    <xf numFmtId="0" fontId="29" fillId="0" borderId="0" xfId="0" applyFont="1" applyBorder="1" applyAlignment="1">
      <alignment horizontal="center" vertical="center" wrapText="1"/>
    </xf>
    <xf numFmtId="9" fontId="29" fillId="0" borderId="0" xfId="0" applyNumberFormat="1" applyFont="1" applyBorder="1" applyAlignment="1">
      <alignment horizontal="center" vertical="center" wrapText="1"/>
    </xf>
    <xf numFmtId="0" fontId="28" fillId="0" borderId="37" xfId="0" applyFont="1" applyBorder="1" applyAlignment="1">
      <alignment horizontal="center" vertical="center" wrapText="1"/>
    </xf>
    <xf numFmtId="0" fontId="38" fillId="0" borderId="0" xfId="0" applyFont="1" applyBorder="1" applyAlignment="1">
      <alignment horizontal="center" vertical="center"/>
    </xf>
    <xf numFmtId="0" fontId="0" fillId="0" borderId="0" xfId="0" applyBorder="1" applyAlignment="1">
      <alignment horizontal="center" vertical="center"/>
    </xf>
    <xf numFmtId="0" fontId="4" fillId="0" borderId="0" xfId="0" applyFont="1" applyBorder="1" applyAlignment="1">
      <alignment horizontal="center" vertical="center"/>
    </xf>
    <xf numFmtId="179" fontId="29" fillId="0" borderId="0" xfId="0" applyNumberFormat="1" applyFont="1" applyBorder="1" applyAlignment="1">
      <alignment horizontal="center" vertical="center" wrapText="1"/>
    </xf>
    <xf numFmtId="179" fontId="29" fillId="0" borderId="21" xfId="0" applyNumberFormat="1" applyFont="1" applyBorder="1" applyAlignment="1">
      <alignment horizontal="center" vertical="center" wrapText="1"/>
    </xf>
    <xf numFmtId="179" fontId="29" fillId="0" borderId="38" xfId="0" applyNumberFormat="1" applyFont="1" applyBorder="1" applyAlignment="1">
      <alignment horizontal="center" vertical="center" wrapText="1"/>
    </xf>
    <xf numFmtId="0" fontId="33" fillId="0" borderId="10" xfId="0" applyFont="1" applyBorder="1" applyAlignment="1">
      <alignment horizontal="center" vertical="center" wrapText="1"/>
    </xf>
    <xf numFmtId="0" fontId="33" fillId="0" borderId="8" xfId="0" applyFont="1" applyBorder="1" applyAlignment="1">
      <alignment horizontal="center" vertical="center" wrapText="1"/>
    </xf>
    <xf numFmtId="0" fontId="33" fillId="0" borderId="6" xfId="0" applyFont="1" applyBorder="1" applyAlignment="1">
      <alignment horizontal="center" vertical="center" wrapText="1"/>
    </xf>
    <xf numFmtId="9" fontId="34" fillId="0" borderId="10" xfId="0" applyNumberFormat="1" applyFont="1" applyBorder="1" applyAlignment="1">
      <alignment horizontal="center" vertical="center" wrapText="1"/>
    </xf>
    <xf numFmtId="9" fontId="34" fillId="0" borderId="8" xfId="0" applyNumberFormat="1" applyFont="1" applyBorder="1" applyAlignment="1">
      <alignment horizontal="center" vertical="center" wrapText="1"/>
    </xf>
    <xf numFmtId="9" fontId="34" fillId="0" borderId="6" xfId="0" applyNumberFormat="1" applyFont="1" applyBorder="1" applyAlignment="1">
      <alignment horizontal="center" vertical="center" wrapText="1"/>
    </xf>
    <xf numFmtId="0" fontId="35" fillId="0" borderId="4" xfId="0" applyFont="1" applyBorder="1" applyAlignment="1">
      <alignment horizontal="left" vertical="center" wrapText="1"/>
    </xf>
    <xf numFmtId="0" fontId="35" fillId="0" borderId="26" xfId="0" applyFont="1" applyBorder="1" applyAlignment="1">
      <alignment horizontal="left" vertical="center" wrapText="1"/>
    </xf>
    <xf numFmtId="9" fontId="34" fillId="0" borderId="31" xfId="0" applyNumberFormat="1" applyFont="1" applyBorder="1" applyAlignment="1">
      <alignment horizontal="center" vertical="center" wrapText="1"/>
    </xf>
    <xf numFmtId="9" fontId="34" fillId="0" borderId="28" xfId="0" applyNumberFormat="1" applyFont="1" applyBorder="1" applyAlignment="1">
      <alignment horizontal="center" vertical="center" wrapText="1"/>
    </xf>
    <xf numFmtId="9" fontId="34" fillId="0" borderId="29" xfId="0" applyNumberFormat="1" applyFont="1" applyBorder="1" applyAlignment="1">
      <alignment horizontal="center" vertical="center" wrapText="1"/>
    </xf>
    <xf numFmtId="0" fontId="35" fillId="0" borderId="3" xfId="0" applyFont="1" applyBorder="1" applyAlignment="1">
      <alignment horizontal="left" vertical="center" wrapText="1"/>
    </xf>
    <xf numFmtId="0" fontId="35" fillId="0" borderId="24" xfId="0" applyFont="1" applyBorder="1" applyAlignment="1">
      <alignment horizontal="left" vertical="center" wrapText="1"/>
    </xf>
    <xf numFmtId="0" fontId="35" fillId="0" borderId="2" xfId="0" applyFont="1" applyBorder="1" applyAlignment="1">
      <alignment horizontal="left" vertical="center" wrapText="1"/>
    </xf>
    <xf numFmtId="0" fontId="35" fillId="0" borderId="25" xfId="0" applyFont="1" applyBorder="1" applyAlignment="1">
      <alignment horizontal="left" vertical="center" wrapText="1"/>
    </xf>
    <xf numFmtId="0" fontId="33" fillId="0" borderId="30" xfId="0" applyFont="1" applyBorder="1" applyAlignment="1">
      <alignment horizontal="center" vertical="center" wrapText="1"/>
    </xf>
    <xf numFmtId="9" fontId="34" fillId="0" borderId="30" xfId="0" applyNumberFormat="1" applyFont="1" applyBorder="1" applyAlignment="1">
      <alignment horizontal="center" vertical="center" wrapText="1"/>
    </xf>
    <xf numFmtId="9" fontId="34" fillId="0" borderId="22" xfId="0" applyNumberFormat="1" applyFont="1" applyBorder="1" applyAlignment="1">
      <alignment horizontal="center" vertical="center" wrapText="1"/>
    </xf>
    <xf numFmtId="0" fontId="35" fillId="0" borderId="10" xfId="0" applyFont="1" applyBorder="1" applyAlignment="1">
      <alignment horizontal="left" vertical="center" wrapText="1"/>
    </xf>
    <xf numFmtId="0" fontId="35" fillId="0" borderId="8" xfId="0" applyFont="1" applyBorder="1" applyAlignment="1">
      <alignment horizontal="left" vertical="center" wrapText="1"/>
    </xf>
    <xf numFmtId="0" fontId="35" fillId="0" borderId="22" xfId="0" applyFont="1" applyBorder="1" applyAlignment="1">
      <alignment horizontal="left" vertical="center" wrapText="1"/>
    </xf>
    <xf numFmtId="0" fontId="34" fillId="0" borderId="30" xfId="0" applyFont="1" applyBorder="1" applyAlignment="1">
      <alignment horizontal="center" vertical="center" wrapText="1"/>
    </xf>
    <xf numFmtId="0" fontId="34" fillId="0" borderId="8" xfId="0" applyFont="1" applyBorder="1" applyAlignment="1">
      <alignment horizontal="center" vertical="center" wrapText="1"/>
    </xf>
    <xf numFmtId="0" fontId="34" fillId="0" borderId="22" xfId="0" applyFont="1" applyBorder="1" applyAlignment="1">
      <alignment horizontal="center" vertical="center" wrapText="1"/>
    </xf>
    <xf numFmtId="0" fontId="35" fillId="0" borderId="30"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22" xfId="0" applyFont="1" applyBorder="1" applyAlignment="1">
      <alignment horizontal="center" vertical="center" wrapText="1"/>
    </xf>
    <xf numFmtId="0" fontId="34" fillId="0" borderId="32" xfId="0" applyFont="1" applyBorder="1" applyAlignment="1">
      <alignment horizontal="center" vertical="center" wrapText="1"/>
    </xf>
    <xf numFmtId="0" fontId="34" fillId="0" borderId="7" xfId="0" applyFont="1" applyBorder="1" applyAlignment="1">
      <alignment horizontal="center" vertical="center" wrapText="1"/>
    </xf>
    <xf numFmtId="0" fontId="34" fillId="0" borderId="23" xfId="0" applyFont="1" applyBorder="1" applyAlignment="1">
      <alignment horizontal="center" vertical="center" wrapText="1"/>
    </xf>
    <xf numFmtId="0" fontId="35" fillId="0" borderId="30" xfId="0" applyFont="1" applyBorder="1" applyAlignment="1">
      <alignment horizontal="left" vertical="center" wrapText="1"/>
    </xf>
    <xf numFmtId="0" fontId="35" fillId="0" borderId="6" xfId="0" applyFont="1" applyBorder="1" applyAlignment="1">
      <alignment horizontal="left" vertical="center" wrapText="1"/>
    </xf>
    <xf numFmtId="0" fontId="34" fillId="0" borderId="4" xfId="0" applyFont="1" applyBorder="1" applyAlignment="1">
      <alignment horizontal="left" vertical="center" wrapText="1"/>
    </xf>
    <xf numFmtId="0" fontId="34" fillId="0" borderId="26" xfId="0" applyFont="1" applyBorder="1" applyAlignment="1">
      <alignment horizontal="left" vertical="center" wrapText="1"/>
    </xf>
    <xf numFmtId="9" fontId="34" fillId="0" borderId="27" xfId="0" applyNumberFormat="1" applyFont="1" applyBorder="1" applyAlignment="1">
      <alignment horizontal="center" vertical="center" wrapText="1"/>
    </xf>
    <xf numFmtId="0" fontId="35" fillId="0" borderId="6"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10" xfId="0" applyFont="1" applyBorder="1" applyAlignment="1">
      <alignment horizontal="center" vertical="center" wrapText="1"/>
    </xf>
    <xf numFmtId="0" fontId="34" fillId="0" borderId="3" xfId="0" applyFont="1" applyBorder="1" applyAlignment="1">
      <alignment horizontal="left" vertical="center" wrapText="1"/>
    </xf>
    <xf numFmtId="0" fontId="34" fillId="0" borderId="24" xfId="0" applyFont="1" applyBorder="1" applyAlignment="1">
      <alignment horizontal="left" vertical="center" wrapText="1"/>
    </xf>
    <xf numFmtId="0" fontId="34" fillId="0" borderId="2" xfId="0" applyFont="1" applyBorder="1" applyAlignment="1">
      <alignment horizontal="left" vertical="center" wrapText="1"/>
    </xf>
    <xf numFmtId="0" fontId="34" fillId="0" borderId="25" xfId="0" applyFont="1" applyBorder="1" applyAlignment="1">
      <alignment horizontal="left" vertical="center" wrapText="1"/>
    </xf>
    <xf numFmtId="0" fontId="32" fillId="7" borderId="10" xfId="0" applyFont="1" applyFill="1" applyBorder="1" applyAlignment="1">
      <alignment horizontal="center" vertical="center" wrapText="1"/>
    </xf>
    <xf numFmtId="0" fontId="32" fillId="7" borderId="6" xfId="0" applyFont="1" applyFill="1" applyBorder="1" applyAlignment="1">
      <alignment horizontal="center" vertical="center" wrapText="1"/>
    </xf>
    <xf numFmtId="0" fontId="32" fillId="7" borderId="8" xfId="0" applyFont="1" applyFill="1" applyBorder="1" applyAlignment="1">
      <alignment horizontal="center" vertical="center" wrapText="1"/>
    </xf>
    <xf numFmtId="0" fontId="32" fillId="7" borderId="4" xfId="0" applyFont="1" applyFill="1" applyBorder="1" applyAlignment="1">
      <alignment horizontal="center" vertical="center" wrapText="1"/>
    </xf>
    <xf numFmtId="0" fontId="32" fillId="7" borderId="9" xfId="0" applyFont="1" applyFill="1" applyBorder="1" applyAlignment="1">
      <alignment horizontal="center" vertical="center" wrapText="1"/>
    </xf>
    <xf numFmtId="0" fontId="32" fillId="7" borderId="2" xfId="0" applyFont="1" applyFill="1" applyBorder="1" applyAlignment="1">
      <alignment horizontal="center" vertical="center" wrapText="1"/>
    </xf>
    <xf numFmtId="0" fontId="32" fillId="7" borderId="5" xfId="0" applyFont="1" applyFill="1" applyBorder="1" applyAlignment="1">
      <alignment horizontal="center" vertical="center" wrapText="1"/>
    </xf>
    <xf numFmtId="0" fontId="32" fillId="7" borderId="16" xfId="0" applyFont="1" applyFill="1" applyBorder="1" applyAlignment="1">
      <alignment horizontal="center" vertical="center" wrapText="1"/>
    </xf>
    <xf numFmtId="0" fontId="32" fillId="7" borderId="15" xfId="0" applyFont="1" applyFill="1" applyBorder="1" applyAlignment="1">
      <alignment horizontal="center" vertical="center" wrapText="1"/>
    </xf>
    <xf numFmtId="0" fontId="32" fillId="7" borderId="22" xfId="0" applyFont="1" applyFill="1" applyBorder="1" applyAlignment="1">
      <alignment horizontal="center" vertical="center" wrapText="1"/>
    </xf>
    <xf numFmtId="0" fontId="33" fillId="0" borderId="22" xfId="0" applyFont="1" applyBorder="1" applyAlignment="1">
      <alignment horizontal="center" vertical="center" wrapText="1"/>
    </xf>
    <xf numFmtId="0" fontId="35" fillId="0" borderId="10" xfId="0" applyFont="1" applyBorder="1" applyAlignment="1">
      <alignment horizontal="center" vertical="center" wrapText="1"/>
    </xf>
    <xf numFmtId="14" fontId="0" fillId="0" borderId="0" xfId="0" applyNumberFormat="1">
      <alignment vertical="center"/>
    </xf>
  </cellXfs>
  <cellStyles count="9">
    <cellStyle name="百分比" xfId="8" builtinId="5"/>
    <cellStyle name="百分比 2" xfId="3"/>
    <cellStyle name="百分比 3" xfId="6"/>
    <cellStyle name="常规" xfId="0" builtinId="0"/>
    <cellStyle name="常规 2" xfId="2"/>
    <cellStyle name="常规 3" xfId="5"/>
    <cellStyle name="千位分隔" xfId="1" builtinId="3"/>
    <cellStyle name="千位分隔 2" xfId="4"/>
    <cellStyle name="千位分隔 3" xfId="7"/>
  </cellStyles>
  <dxfs count="0"/>
  <tableStyles count="0" defaultTableStyle="TableStyleMedium2" defaultPivotStyle="PivotStyleLight16"/>
  <colors>
    <mruColors>
      <color rgb="FF008000"/>
      <color rgb="FFFF7C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123825</xdr:colOff>
          <xdr:row>0</xdr:row>
          <xdr:rowOff>133350</xdr:rowOff>
        </xdr:from>
        <xdr:to>
          <xdr:col>7</xdr:col>
          <xdr:colOff>1390650</xdr:colOff>
          <xdr:row>0</xdr:row>
          <xdr:rowOff>504825</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0</xdr:row>
          <xdr:rowOff>123826</xdr:rowOff>
        </xdr:from>
        <xdr:to>
          <xdr:col>6</xdr:col>
          <xdr:colOff>1343025</xdr:colOff>
          <xdr:row>0</xdr:row>
          <xdr:rowOff>504826</xdr:rowOff>
        </xdr:to>
        <xdr:sp macro="" textlink="">
          <xdr:nvSpPr>
            <xdr:cNvPr id="7286" name="Button 118" hidden="1">
              <a:extLst>
                <a:ext uri="{63B3BB69-23CF-44E3-9099-C40C66FF867C}">
                  <a14:compatExt spid="_x0000_s728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Load Leasing Data</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3:AA79"/>
  <sheetViews>
    <sheetView topLeftCell="A40" workbookViewId="0">
      <selection activeCell="D43" sqref="D43"/>
    </sheetView>
  </sheetViews>
  <sheetFormatPr defaultRowHeight="13.5" x14ac:dyDescent="0.15"/>
  <cols>
    <col min="2" max="2" width="22" bestFit="1" customWidth="1"/>
    <col min="3" max="3" width="38.25" bestFit="1" customWidth="1"/>
    <col min="4" max="4" width="28.5" customWidth="1"/>
    <col min="5" max="5" width="21.125" customWidth="1"/>
    <col min="6" max="6" width="11.25" customWidth="1"/>
    <col min="7" max="7" width="5.625" customWidth="1"/>
    <col min="8" max="8" width="7.25" customWidth="1"/>
    <col min="9" max="9" width="14.25" bestFit="1" customWidth="1"/>
    <col min="10" max="10" width="7.625" customWidth="1"/>
    <col min="11" max="11" width="18.75" customWidth="1"/>
    <col min="12" max="12" width="15.125" customWidth="1"/>
    <col min="13" max="13" width="5.5" customWidth="1"/>
    <col min="14" max="14" width="24.875" customWidth="1"/>
    <col min="15" max="15" width="15.5" customWidth="1"/>
    <col min="16" max="16" width="8.125" customWidth="1"/>
    <col min="17" max="17" width="7.75" bestFit="1" customWidth="1"/>
    <col min="18" max="18" width="17.375" customWidth="1"/>
    <col min="19" max="19" width="12" customWidth="1"/>
    <col min="22" max="22" width="30.125" customWidth="1"/>
    <col min="23" max="23" width="7.375" customWidth="1"/>
    <col min="26" max="26" width="12.5" bestFit="1" customWidth="1"/>
  </cols>
  <sheetData>
    <row r="3" spans="3:27" ht="15" x14ac:dyDescent="0.15">
      <c r="K3" s="260"/>
      <c r="L3" s="260"/>
    </row>
    <row r="4" spans="3:27" ht="15" x14ac:dyDescent="0.15">
      <c r="C4" s="6"/>
      <c r="D4" s="6" t="s">
        <v>420</v>
      </c>
      <c r="E4" s="6"/>
      <c r="G4" s="260" t="s">
        <v>421</v>
      </c>
      <c r="H4" s="260"/>
      <c r="I4" s="260"/>
      <c r="J4" s="260"/>
      <c r="K4" s="260"/>
      <c r="L4" s="260"/>
      <c r="M4" s="260"/>
      <c r="N4" s="260"/>
      <c r="O4" s="260"/>
      <c r="P4" s="260"/>
      <c r="Q4" s="260"/>
      <c r="R4" s="260"/>
      <c r="S4" s="260"/>
      <c r="V4" s="260" t="s">
        <v>564</v>
      </c>
      <c r="W4" s="260"/>
      <c r="Z4" s="260" t="s">
        <v>419</v>
      </c>
      <c r="AA4" s="260"/>
    </row>
    <row r="5" spans="3:27" ht="15" x14ac:dyDescent="0.15">
      <c r="C5" s="147"/>
      <c r="D5" s="148" t="s">
        <v>565</v>
      </c>
      <c r="E5" s="148" t="s">
        <v>131</v>
      </c>
      <c r="G5" s="2" t="s">
        <v>55</v>
      </c>
      <c r="H5" s="2"/>
      <c r="J5" s="262" t="s">
        <v>0</v>
      </c>
      <c r="K5" s="262"/>
      <c r="L5" s="262"/>
      <c r="M5" s="2"/>
      <c r="N5" s="262" t="s">
        <v>57</v>
      </c>
      <c r="O5" s="262"/>
      <c r="P5" s="2" t="s">
        <v>114</v>
      </c>
      <c r="R5" s="145" t="s">
        <v>121</v>
      </c>
      <c r="S5" s="145" t="s">
        <v>117</v>
      </c>
      <c r="V5" s="152" t="s">
        <v>656</v>
      </c>
      <c r="W5" s="152" t="s">
        <v>422</v>
      </c>
      <c r="Z5" s="190" t="s">
        <v>657</v>
      </c>
      <c r="AA5" s="190" t="s">
        <v>658</v>
      </c>
    </row>
    <row r="6" spans="3:27" ht="57" x14ac:dyDescent="0.15">
      <c r="C6" s="149">
        <v>1</v>
      </c>
      <c r="D6" s="148" t="s">
        <v>132</v>
      </c>
      <c r="E6" s="150">
        <v>10</v>
      </c>
      <c r="G6" s="2">
        <v>1</v>
      </c>
      <c r="H6" s="185">
        <v>10</v>
      </c>
      <c r="J6" s="2" t="s">
        <v>1</v>
      </c>
      <c r="K6" s="2" t="s">
        <v>2</v>
      </c>
      <c r="L6" s="2" t="s">
        <v>36</v>
      </c>
      <c r="M6" s="145" t="s">
        <v>126</v>
      </c>
      <c r="N6" s="2">
        <v>1</v>
      </c>
      <c r="O6" s="2" t="s">
        <v>58</v>
      </c>
      <c r="P6" s="2">
        <v>10</v>
      </c>
      <c r="R6" s="146" t="s">
        <v>123</v>
      </c>
      <c r="S6" s="5">
        <v>10</v>
      </c>
      <c r="V6" s="148" t="s">
        <v>561</v>
      </c>
      <c r="W6" s="149">
        <v>10</v>
      </c>
      <c r="Z6" s="153" t="s">
        <v>418</v>
      </c>
      <c r="AA6" s="154">
        <v>10</v>
      </c>
    </row>
    <row r="7" spans="3:27" ht="71.25" x14ac:dyDescent="0.15">
      <c r="C7" s="149">
        <v>2</v>
      </c>
      <c r="D7" s="148" t="s">
        <v>133</v>
      </c>
      <c r="E7" s="150">
        <v>8</v>
      </c>
      <c r="G7" s="2">
        <v>2</v>
      </c>
      <c r="H7" s="185">
        <v>8</v>
      </c>
      <c r="J7" s="2" t="s">
        <v>3</v>
      </c>
      <c r="K7" s="2" t="s">
        <v>17</v>
      </c>
      <c r="L7" s="4" t="s">
        <v>127</v>
      </c>
      <c r="M7" s="2">
        <v>10</v>
      </c>
      <c r="N7" s="2">
        <v>2</v>
      </c>
      <c r="O7" s="2" t="s">
        <v>59</v>
      </c>
      <c r="P7" s="2">
        <v>8</v>
      </c>
      <c r="R7" s="146" t="s">
        <v>122</v>
      </c>
      <c r="S7" s="5">
        <v>5</v>
      </c>
      <c r="V7" s="148" t="s">
        <v>562</v>
      </c>
      <c r="W7" s="149">
        <v>6</v>
      </c>
      <c r="Z7" s="153" t="s">
        <v>179</v>
      </c>
      <c r="AA7" s="154">
        <v>8</v>
      </c>
    </row>
    <row r="8" spans="3:27" ht="60" x14ac:dyDescent="0.15">
      <c r="C8" s="149">
        <v>3</v>
      </c>
      <c r="D8" s="148" t="s">
        <v>134</v>
      </c>
      <c r="E8" s="150">
        <v>6</v>
      </c>
      <c r="G8" s="2">
        <v>3</v>
      </c>
      <c r="H8" s="185">
        <v>6</v>
      </c>
      <c r="J8" s="2" t="s">
        <v>5</v>
      </c>
      <c r="K8" s="2" t="s">
        <v>18</v>
      </c>
      <c r="L8" s="2" t="s">
        <v>116</v>
      </c>
      <c r="M8" s="2">
        <f t="shared" ref="M8:M17" si="0">M9+0.75</f>
        <v>9.25</v>
      </c>
      <c r="N8" s="2">
        <v>3</v>
      </c>
      <c r="O8" s="2" t="s">
        <v>60</v>
      </c>
      <c r="P8" s="2">
        <v>6</v>
      </c>
      <c r="R8" s="146" t="s">
        <v>125</v>
      </c>
      <c r="S8" s="5">
        <v>0</v>
      </c>
      <c r="V8" s="148" t="s">
        <v>563</v>
      </c>
      <c r="W8" s="149">
        <v>2</v>
      </c>
      <c r="Z8" s="153" t="s">
        <v>178</v>
      </c>
      <c r="AA8" s="154">
        <v>6</v>
      </c>
    </row>
    <row r="9" spans="3:27" ht="60" x14ac:dyDescent="0.15">
      <c r="C9" s="149">
        <v>4</v>
      </c>
      <c r="D9" s="148" t="s">
        <v>135</v>
      </c>
      <c r="E9" s="151">
        <v>4</v>
      </c>
      <c r="G9" s="2">
        <v>4</v>
      </c>
      <c r="H9" s="185">
        <v>5</v>
      </c>
      <c r="J9" s="2" t="s">
        <v>6</v>
      </c>
      <c r="K9" s="2" t="s">
        <v>19</v>
      </c>
      <c r="L9" s="4" t="s">
        <v>434</v>
      </c>
      <c r="M9" s="2">
        <f t="shared" si="0"/>
        <v>8.5</v>
      </c>
      <c r="N9" s="2">
        <v>4</v>
      </c>
      <c r="O9" s="2" t="s">
        <v>56</v>
      </c>
      <c r="P9" s="2">
        <v>4</v>
      </c>
      <c r="R9" s="146" t="s">
        <v>124</v>
      </c>
      <c r="S9" s="5">
        <v>0</v>
      </c>
      <c r="V9" s="23"/>
      <c r="W9" s="30"/>
      <c r="Z9" s="153" t="s">
        <v>176</v>
      </c>
      <c r="AA9" s="154">
        <v>4</v>
      </c>
    </row>
    <row r="10" spans="3:27" ht="60" x14ac:dyDescent="0.15">
      <c r="C10" s="149">
        <v>5</v>
      </c>
      <c r="D10" s="148" t="s">
        <v>136</v>
      </c>
      <c r="E10" s="150">
        <v>2</v>
      </c>
      <c r="G10" s="2">
        <v>5</v>
      </c>
      <c r="H10" s="185">
        <v>4</v>
      </c>
      <c r="J10" s="2" t="s">
        <v>7</v>
      </c>
      <c r="K10" s="2" t="s">
        <v>20</v>
      </c>
      <c r="L10" s="2" t="s">
        <v>40</v>
      </c>
      <c r="M10" s="2">
        <f t="shared" si="0"/>
        <v>7.75</v>
      </c>
      <c r="N10" s="3">
        <v>5</v>
      </c>
      <c r="O10" s="2" t="s">
        <v>61</v>
      </c>
      <c r="P10" s="2">
        <v>2</v>
      </c>
      <c r="V10" s="23"/>
      <c r="W10" s="30"/>
      <c r="Z10" s="153" t="s">
        <v>174</v>
      </c>
      <c r="AA10" s="154">
        <v>2</v>
      </c>
    </row>
    <row r="11" spans="3:27" ht="45" x14ac:dyDescent="0.15">
      <c r="C11" s="149">
        <v>6</v>
      </c>
      <c r="D11" s="148" t="s">
        <v>137</v>
      </c>
      <c r="E11" s="151">
        <v>0</v>
      </c>
      <c r="G11" s="2">
        <v>6</v>
      </c>
      <c r="H11" s="185">
        <v>3.2</v>
      </c>
      <c r="J11" s="2" t="s">
        <v>8</v>
      </c>
      <c r="K11" s="2" t="s">
        <v>21</v>
      </c>
      <c r="L11" s="2" t="s">
        <v>41</v>
      </c>
      <c r="M11" s="2">
        <f t="shared" si="0"/>
        <v>7</v>
      </c>
      <c r="V11" s="23"/>
      <c r="W11" s="30"/>
      <c r="Z11" s="153" t="s">
        <v>171</v>
      </c>
      <c r="AA11" s="154">
        <v>0</v>
      </c>
    </row>
    <row r="12" spans="3:27" ht="15" x14ac:dyDescent="0.15">
      <c r="C12" s="149"/>
      <c r="G12" s="2">
        <v>7</v>
      </c>
      <c r="H12" s="185">
        <v>2.4</v>
      </c>
      <c r="J12" s="2" t="s">
        <v>9</v>
      </c>
      <c r="K12" s="2" t="s">
        <v>22</v>
      </c>
      <c r="L12" s="2" t="s">
        <v>42</v>
      </c>
      <c r="M12" s="2">
        <f t="shared" si="0"/>
        <v>6.25</v>
      </c>
      <c r="V12" s="23"/>
      <c r="W12" s="30"/>
    </row>
    <row r="13" spans="3:27" ht="15" x14ac:dyDescent="0.15">
      <c r="G13" s="2">
        <v>8</v>
      </c>
      <c r="H13" s="185">
        <v>2</v>
      </c>
      <c r="J13" s="2" t="s">
        <v>10</v>
      </c>
      <c r="K13" s="2" t="s">
        <v>23</v>
      </c>
      <c r="L13" s="2" t="s">
        <v>43</v>
      </c>
      <c r="M13" s="2">
        <f t="shared" si="0"/>
        <v>5.5</v>
      </c>
      <c r="V13" s="23"/>
      <c r="W13" s="30"/>
    </row>
    <row r="14" spans="3:27" ht="15" x14ac:dyDescent="0.15">
      <c r="G14" s="2">
        <v>9</v>
      </c>
      <c r="H14" s="185">
        <v>1</v>
      </c>
      <c r="J14" s="2" t="s">
        <v>11</v>
      </c>
      <c r="K14" s="2" t="s">
        <v>24</v>
      </c>
      <c r="L14" s="2" t="s">
        <v>44</v>
      </c>
      <c r="M14" s="2">
        <f t="shared" si="0"/>
        <v>4.75</v>
      </c>
      <c r="V14" s="23"/>
      <c r="W14" s="30"/>
    </row>
    <row r="15" spans="3:27" ht="14.25" x14ac:dyDescent="0.15">
      <c r="G15" s="2">
        <v>10</v>
      </c>
      <c r="H15" s="185">
        <v>0</v>
      </c>
      <c r="J15" s="2" t="s">
        <v>12</v>
      </c>
      <c r="K15" s="2" t="s">
        <v>25</v>
      </c>
      <c r="L15" s="2" t="s">
        <v>45</v>
      </c>
      <c r="M15" s="2">
        <f t="shared" si="0"/>
        <v>4</v>
      </c>
    </row>
    <row r="16" spans="3:27" ht="14.25" x14ac:dyDescent="0.15">
      <c r="J16" s="2" t="s">
        <v>13</v>
      </c>
      <c r="K16" s="2" t="s">
        <v>26</v>
      </c>
      <c r="L16" s="2" t="s">
        <v>46</v>
      </c>
      <c r="M16" s="2">
        <f t="shared" si="0"/>
        <v>3.25</v>
      </c>
    </row>
    <row r="17" spans="3:13" ht="14.25" x14ac:dyDescent="0.15">
      <c r="J17" s="2" t="s">
        <v>14</v>
      </c>
      <c r="K17" s="2" t="s">
        <v>27</v>
      </c>
      <c r="L17" s="2" t="s">
        <v>47</v>
      </c>
      <c r="M17" s="2">
        <f t="shared" si="0"/>
        <v>2.5</v>
      </c>
    </row>
    <row r="18" spans="3:13" ht="14.25" x14ac:dyDescent="0.15">
      <c r="J18" s="2" t="s">
        <v>15</v>
      </c>
      <c r="K18" s="2" t="s">
        <v>28</v>
      </c>
      <c r="L18" s="2" t="s">
        <v>48</v>
      </c>
      <c r="M18" s="2">
        <f>M19+0.75</f>
        <v>1.75</v>
      </c>
    </row>
    <row r="19" spans="3:13" ht="41.25" customHeight="1" x14ac:dyDescent="0.15">
      <c r="J19" s="2" t="s">
        <v>16</v>
      </c>
      <c r="K19" s="2" t="s">
        <v>29</v>
      </c>
      <c r="L19" s="2" t="s">
        <v>49</v>
      </c>
      <c r="M19" s="2">
        <v>1</v>
      </c>
    </row>
    <row r="20" spans="3:13" ht="14.25" x14ac:dyDescent="0.15">
      <c r="J20" s="144" t="s">
        <v>37</v>
      </c>
      <c r="K20" s="144" t="s">
        <v>38</v>
      </c>
      <c r="L20" s="144"/>
    </row>
    <row r="21" spans="3:13" ht="14.25" x14ac:dyDescent="0.15">
      <c r="J21" s="2" t="s">
        <v>30</v>
      </c>
      <c r="K21" s="2" t="s">
        <v>39</v>
      </c>
      <c r="L21" s="2"/>
    </row>
    <row r="22" spans="3:13" ht="14.25" x14ac:dyDescent="0.15">
      <c r="J22" s="2" t="s">
        <v>31</v>
      </c>
      <c r="K22" s="2" t="s">
        <v>50</v>
      </c>
      <c r="L22" s="2"/>
    </row>
    <row r="23" spans="3:13" ht="14.25" x14ac:dyDescent="0.15">
      <c r="J23" s="2" t="s">
        <v>32</v>
      </c>
      <c r="K23" s="2" t="s">
        <v>51</v>
      </c>
      <c r="L23" s="2"/>
    </row>
    <row r="24" spans="3:13" ht="14.25" x14ac:dyDescent="0.15">
      <c r="J24" s="2" t="s">
        <v>33</v>
      </c>
      <c r="K24" s="2" t="s">
        <v>52</v>
      </c>
      <c r="L24" s="2"/>
    </row>
    <row r="25" spans="3:13" ht="14.25" x14ac:dyDescent="0.15">
      <c r="J25" s="2" t="s">
        <v>34</v>
      </c>
      <c r="K25" s="2" t="s">
        <v>53</v>
      </c>
      <c r="L25" s="2"/>
    </row>
    <row r="26" spans="3:13" ht="14.25" x14ac:dyDescent="0.15">
      <c r="J26" s="2" t="s">
        <v>35</v>
      </c>
      <c r="K26" s="2" t="s">
        <v>54</v>
      </c>
      <c r="L26" s="2"/>
    </row>
    <row r="27" spans="3:13" ht="14.25" x14ac:dyDescent="0.15">
      <c r="J27" s="2"/>
      <c r="K27" s="2"/>
      <c r="L27" s="2"/>
    </row>
    <row r="28" spans="3:13" ht="14.25" x14ac:dyDescent="0.15">
      <c r="J28" s="2"/>
      <c r="K28" s="2"/>
      <c r="L28" s="2"/>
    </row>
    <row r="29" spans="3:13" ht="14.25" x14ac:dyDescent="0.15">
      <c r="J29" s="2"/>
      <c r="K29" s="2"/>
      <c r="L29" s="2"/>
    </row>
    <row r="30" spans="3:13" ht="14.25" x14ac:dyDescent="0.15">
      <c r="J30" s="2"/>
      <c r="K30" s="2"/>
      <c r="L30" s="2"/>
    </row>
    <row r="31" spans="3:13" x14ac:dyDescent="0.15">
      <c r="J31" s="5"/>
      <c r="K31" s="5"/>
      <c r="L31" s="5"/>
    </row>
    <row r="32" spans="3:13" ht="15.75" thickBot="1" x14ac:dyDescent="0.2">
      <c r="C32" s="261" t="s">
        <v>413</v>
      </c>
      <c r="D32" s="261"/>
      <c r="J32" s="7"/>
      <c r="K32" s="7"/>
      <c r="L32" s="7"/>
    </row>
    <row r="33" spans="3:27" ht="14.25" thickBot="1" x14ac:dyDescent="0.2">
      <c r="C33" s="160" t="s">
        <v>431</v>
      </c>
      <c r="D33" s="160" t="s">
        <v>414</v>
      </c>
      <c r="J33" s="7"/>
      <c r="K33" s="7"/>
      <c r="L33" s="7"/>
    </row>
    <row r="34" spans="3:27" ht="55.5" customHeight="1" x14ac:dyDescent="0.15">
      <c r="C34" s="60" t="s">
        <v>575</v>
      </c>
      <c r="D34" s="61">
        <f>VLOOKUP(C34,D6:E11,2,0)</f>
        <v>4</v>
      </c>
      <c r="J34" s="7"/>
      <c r="K34" s="7"/>
      <c r="L34" s="7"/>
    </row>
    <row r="35" spans="3:27" x14ac:dyDescent="0.15">
      <c r="J35" s="7"/>
      <c r="K35" s="7"/>
      <c r="L35" s="7"/>
    </row>
    <row r="36" spans="3:27" x14ac:dyDescent="0.15">
      <c r="J36" s="7"/>
      <c r="K36" s="7"/>
      <c r="L36" s="7"/>
    </row>
    <row r="37" spans="3:27" x14ac:dyDescent="0.15">
      <c r="J37" s="7"/>
      <c r="K37" s="7"/>
      <c r="L37" s="7"/>
    </row>
    <row r="39" spans="3:27" x14ac:dyDescent="0.15">
      <c r="K39" s="7"/>
    </row>
    <row r="40" spans="3:27" ht="15" x14ac:dyDescent="0.15">
      <c r="C40" s="261" t="s">
        <v>112</v>
      </c>
      <c r="D40" s="261"/>
      <c r="E40" s="261"/>
      <c r="F40" s="261"/>
      <c r="G40" s="261"/>
      <c r="H40" s="261"/>
      <c r="I40" s="261"/>
      <c r="J40" s="261"/>
      <c r="K40" s="261"/>
      <c r="L40" s="261"/>
      <c r="M40" s="261"/>
      <c r="N40" s="261"/>
    </row>
    <row r="41" spans="3:27" s="8" customFormat="1" ht="42.75" customHeight="1" x14ac:dyDescent="0.15">
      <c r="C41" s="168" t="s">
        <v>110</v>
      </c>
      <c r="D41" s="168" t="s">
        <v>113</v>
      </c>
      <c r="E41" s="169" t="s">
        <v>118</v>
      </c>
      <c r="F41" s="168" t="s">
        <v>111</v>
      </c>
      <c r="G41" s="168" t="s">
        <v>113</v>
      </c>
      <c r="H41" s="169" t="s">
        <v>118</v>
      </c>
      <c r="I41" s="168" t="s">
        <v>115</v>
      </c>
      <c r="J41" s="168" t="s">
        <v>113</v>
      </c>
      <c r="K41" s="169" t="s">
        <v>118</v>
      </c>
      <c r="L41" s="168" t="s">
        <v>119</v>
      </c>
      <c r="M41" s="168" t="s">
        <v>113</v>
      </c>
      <c r="N41" s="169" t="s">
        <v>120</v>
      </c>
      <c r="V41"/>
      <c r="W41"/>
      <c r="Z41"/>
      <c r="AA41"/>
    </row>
    <row r="42" spans="3:27" ht="62.25" customHeight="1" x14ac:dyDescent="0.15">
      <c r="C42" s="9">
        <v>7</v>
      </c>
      <c r="D42" s="9">
        <f>LOOKUP(C42,G6:G15,H6:H15)</f>
        <v>2.4</v>
      </c>
      <c r="E42" s="186">
        <v>0.45</v>
      </c>
      <c r="F42" s="9">
        <v>3</v>
      </c>
      <c r="G42" s="9">
        <f>LOOKUP(F42,N6:N10,P6:P10)</f>
        <v>6</v>
      </c>
      <c r="H42" s="186">
        <v>0.3</v>
      </c>
      <c r="I42" s="187">
        <v>50000000</v>
      </c>
      <c r="J42" s="11">
        <f>IF((I42&gt;=450000000),10,IF(AND(I42&lt;449999999,I42&gt;=85000000),9.2,IF(AND(I42&gt;=8500000,O42&lt;84999999),8.5,IF(AND(I42&gt;=6500000,I42&lt;8499999),7.8,IF(AND(I42&gt;=4500000,I42&lt;6499999),7,IF(AND(I42&gt;=2500000,I42&lt;4499999),6.2,IF(AND(I42&gt;=1750000,I42&lt;2499999),5.5,IF(AND(I42&gt;=1000000,I42&lt;1749999),4.7,IF(AND(I42&gt;=650000,I42&lt;999999),4,IF(AND(I42&gt;=450000,I42&lt;649999),3.3,IF(AND(I42&gt;=300000,I42&lt;449999),2.5,IF(AND(I42&gt;=200000,I42&lt;299999),1.8,IF(AND(I42&gt;0,I42&lt;200000),1,0)))))))))))))</f>
        <v>8.5</v>
      </c>
      <c r="K42" s="10">
        <v>0.15</v>
      </c>
      <c r="L42" s="12" t="s">
        <v>128</v>
      </c>
      <c r="M42" s="9">
        <f>VLOOKUP(L42,R6:S9,2,0)</f>
        <v>10</v>
      </c>
      <c r="N42" s="10">
        <v>0.1</v>
      </c>
      <c r="P42" s="23"/>
      <c r="Q42" s="30"/>
      <c r="V42" s="8"/>
      <c r="W42" s="8"/>
      <c r="Z42" s="8"/>
      <c r="AA42" s="8"/>
    </row>
    <row r="43" spans="3:27" ht="15" x14ac:dyDescent="0.15">
      <c r="C43" s="13" t="s">
        <v>424</v>
      </c>
      <c r="D43" s="14">
        <f>D42*E42+G42*H42+J42*K42+M42*N42</f>
        <v>5.1549999999999994</v>
      </c>
      <c r="E43" s="14"/>
      <c r="F43" s="14"/>
      <c r="G43" s="14"/>
      <c r="H43" s="14"/>
      <c r="I43" s="14"/>
      <c r="J43" s="14"/>
      <c r="K43" s="14"/>
      <c r="L43" s="14"/>
      <c r="M43" s="14"/>
      <c r="N43" s="14"/>
      <c r="P43" s="23"/>
      <c r="Q43" s="30"/>
    </row>
    <row r="44" spans="3:27" ht="15" x14ac:dyDescent="0.15">
      <c r="C44" s="7"/>
      <c r="D44" s="7"/>
      <c r="E44" s="7"/>
      <c r="F44" s="7"/>
      <c r="G44" s="7"/>
      <c r="H44" s="7"/>
      <c r="I44" s="7"/>
      <c r="J44" s="7"/>
      <c r="K44" s="7"/>
      <c r="L44" s="7"/>
      <c r="M44" s="7"/>
      <c r="N44" s="7"/>
      <c r="P44" s="23"/>
      <c r="Q44" s="30"/>
    </row>
    <row r="45" spans="3:27" ht="15" x14ac:dyDescent="0.15">
      <c r="P45" s="23"/>
      <c r="Q45" s="30"/>
    </row>
    <row r="46" spans="3:27" ht="15" customHeight="1" thickBot="1" x14ac:dyDescent="0.2">
      <c r="C46" s="261" t="s">
        <v>415</v>
      </c>
      <c r="D46" s="261"/>
      <c r="P46" s="23"/>
      <c r="Q46" s="30"/>
    </row>
    <row r="47" spans="3:27" ht="15.75" thickBot="1" x14ac:dyDescent="0.2">
      <c r="C47" s="160" t="s">
        <v>416</v>
      </c>
      <c r="D47" s="160" t="s">
        <v>417</v>
      </c>
      <c r="P47" s="23"/>
      <c r="Q47" s="30"/>
    </row>
    <row r="48" spans="3:27" ht="15" x14ac:dyDescent="0.15">
      <c r="C48" s="132" t="s">
        <v>659</v>
      </c>
      <c r="D48" s="61">
        <f>VLOOKUP(C48,V6:W8,2,0)</f>
        <v>2</v>
      </c>
    </row>
    <row r="51" spans="2:5" ht="15.75" thickBot="1" x14ac:dyDescent="0.2">
      <c r="C51" s="261" t="s">
        <v>423</v>
      </c>
      <c r="D51" s="261"/>
    </row>
    <row r="52" spans="2:5" ht="14.25" thickBot="1" x14ac:dyDescent="0.2">
      <c r="C52" s="160" t="s">
        <v>432</v>
      </c>
      <c r="D52" s="160" t="s">
        <v>433</v>
      </c>
    </row>
    <row r="53" spans="2:5" ht="15" x14ac:dyDescent="0.15">
      <c r="C53" s="155">
        <v>0.7</v>
      </c>
      <c r="D53" s="167">
        <f>IF((C53&gt;=85%),0,IF(AND(C53&gt;=80%,C53&lt;85%),2,IF(AND(C53&gt;=75%,C53&lt;80),4,IF(AND(C53&gt;=65%,C53&lt;75%),6,IF(AND(C53&gt;=50%,C53&lt;65%),8,IF(AND(C53&gt;0,C53&lt;50%),10,"error"))))))</f>
        <v>6</v>
      </c>
    </row>
    <row r="58" spans="2:5" ht="14.25" x14ac:dyDescent="0.15">
      <c r="B58" s="2" t="s">
        <v>426</v>
      </c>
      <c r="C58" s="2" t="s">
        <v>429</v>
      </c>
      <c r="D58" s="2" t="s">
        <v>425</v>
      </c>
      <c r="E58" s="2"/>
    </row>
    <row r="59" spans="2:5" ht="14.25" x14ac:dyDescent="0.15">
      <c r="B59" s="2" t="s">
        <v>412</v>
      </c>
      <c r="C59" s="3">
        <f>D34</f>
        <v>4</v>
      </c>
      <c r="D59" s="156">
        <v>0.25</v>
      </c>
      <c r="E59" s="2">
        <f>C59*D59</f>
        <v>1</v>
      </c>
    </row>
    <row r="60" spans="2:5" ht="14.25" x14ac:dyDescent="0.15">
      <c r="B60" s="2" t="s">
        <v>427</v>
      </c>
      <c r="C60" s="3">
        <f>D43</f>
        <v>5.1549999999999994</v>
      </c>
      <c r="D60" s="156">
        <v>0.5</v>
      </c>
      <c r="E60" s="2">
        <f t="shared" ref="E60:E62" si="1">C60*D60</f>
        <v>2.5774999999999997</v>
      </c>
    </row>
    <row r="61" spans="2:5" ht="14.25" x14ac:dyDescent="0.15">
      <c r="B61" s="2" t="s">
        <v>428</v>
      </c>
      <c r="C61" s="3">
        <f>D48</f>
        <v>2</v>
      </c>
      <c r="D61" s="156">
        <v>0.1</v>
      </c>
      <c r="E61" s="2">
        <f t="shared" si="1"/>
        <v>0.2</v>
      </c>
    </row>
    <row r="62" spans="2:5" ht="14.25" x14ac:dyDescent="0.15">
      <c r="B62" s="2" t="s">
        <v>641</v>
      </c>
      <c r="C62" s="157">
        <f>D53</f>
        <v>6</v>
      </c>
      <c r="D62" s="156">
        <v>0.15</v>
      </c>
      <c r="E62" s="2">
        <f t="shared" si="1"/>
        <v>0.89999999999999991</v>
      </c>
    </row>
    <row r="63" spans="2:5" ht="18" x14ac:dyDescent="0.15">
      <c r="B63" s="158" t="s">
        <v>430</v>
      </c>
      <c r="C63" s="159"/>
      <c r="D63" s="158"/>
      <c r="E63" s="161">
        <f>SUM(E59:E62)</f>
        <v>4.6775000000000002</v>
      </c>
    </row>
    <row r="64" spans="2:5" ht="18" x14ac:dyDescent="0.15">
      <c r="B64" s="174"/>
      <c r="C64" s="175"/>
      <c r="D64" s="174"/>
      <c r="E64" s="176"/>
    </row>
    <row r="65" spans="2:27" ht="14.25" x14ac:dyDescent="0.15">
      <c r="B65" s="178" t="s">
        <v>571</v>
      </c>
      <c r="C65" s="180">
        <v>0.85</v>
      </c>
      <c r="D65" s="180">
        <v>0.8</v>
      </c>
      <c r="E65" s="180">
        <v>0.7</v>
      </c>
    </row>
    <row r="66" spans="2:27" ht="14.25" x14ac:dyDescent="0.15">
      <c r="B66" s="171" t="s">
        <v>566</v>
      </c>
      <c r="C66" s="173">
        <f>(10-E63)/100</f>
        <v>5.3224999999999995E-2</v>
      </c>
      <c r="D66" s="173">
        <f>C66</f>
        <v>5.3224999999999995E-2</v>
      </c>
      <c r="E66" s="173">
        <f>D66</f>
        <v>5.3224999999999995E-2</v>
      </c>
    </row>
    <row r="67" spans="2:27" ht="14.25" x14ac:dyDescent="0.15">
      <c r="B67" s="171" t="s">
        <v>573</v>
      </c>
      <c r="C67" s="173">
        <v>6.0400000000000002E-2</v>
      </c>
      <c r="D67" s="177">
        <f>D73</f>
        <v>6.409999999999999E-2</v>
      </c>
      <c r="E67" s="177">
        <f>E73</f>
        <v>7.1587499999999998E-2</v>
      </c>
    </row>
    <row r="68" spans="2:27" s="181" customFormat="1" ht="14.25" x14ac:dyDescent="0.15">
      <c r="B68" s="178" t="s">
        <v>574</v>
      </c>
      <c r="C68" s="182">
        <f>C66+C67</f>
        <v>0.113625</v>
      </c>
      <c r="D68" s="179">
        <f t="shared" ref="D68:E68" si="2">D66+D67</f>
        <v>0.11732499999999998</v>
      </c>
      <c r="E68" s="182">
        <f t="shared" si="2"/>
        <v>0.12481249999999999</v>
      </c>
      <c r="Z68"/>
      <c r="AA68"/>
    </row>
    <row r="69" spans="2:27" ht="28.5" x14ac:dyDescent="0.15">
      <c r="B69" s="183" t="s">
        <v>642</v>
      </c>
      <c r="C69" s="173" t="s">
        <v>655</v>
      </c>
      <c r="D69" s="173" t="str">
        <f>C69</f>
        <v>0.57-10%</v>
      </c>
      <c r="E69" s="173" t="str">
        <f>D69</f>
        <v>0.57-10%</v>
      </c>
      <c r="Z69" s="181"/>
      <c r="AA69" s="181"/>
    </row>
    <row r="70" spans="2:27" ht="28.5" x14ac:dyDescent="0.15">
      <c r="B70" s="189" t="s">
        <v>643</v>
      </c>
      <c r="C70" s="179">
        <f>((C67+0.57%)+(C67+10%))/2</f>
        <v>0.11325000000000002</v>
      </c>
      <c r="D70" s="179">
        <f t="shared" ref="D70:E70" si="3">((D67+0.57%)+(D67+10%))/2</f>
        <v>0.11695</v>
      </c>
      <c r="E70" s="179">
        <f t="shared" si="3"/>
        <v>0.12443750000000001</v>
      </c>
    </row>
    <row r="72" spans="2:27" ht="14.25" x14ac:dyDescent="0.15">
      <c r="B72" s="183"/>
      <c r="C72" s="173">
        <v>0.85</v>
      </c>
      <c r="D72" s="173">
        <v>0.8</v>
      </c>
      <c r="E72" s="173">
        <v>0.7</v>
      </c>
    </row>
    <row r="73" spans="2:27" ht="14.25" x14ac:dyDescent="0.15">
      <c r="B73" s="171" t="s">
        <v>572</v>
      </c>
      <c r="C73" s="173">
        <f>$C$74*(1-C72)+$C$75*C72*(1-25%)</f>
        <v>6.035625E-2</v>
      </c>
      <c r="D73" s="173">
        <f t="shared" ref="D73:E73" si="4">$C$74*(1-D72)+$C$75*D72*(1-25%)</f>
        <v>6.409999999999999E-2</v>
      </c>
      <c r="E73" s="173">
        <f t="shared" si="4"/>
        <v>7.1587499999999998E-2</v>
      </c>
    </row>
    <row r="74" spans="2:27" x14ac:dyDescent="0.15">
      <c r="B74" t="s">
        <v>567</v>
      </c>
      <c r="C74" s="172">
        <v>0.124</v>
      </c>
    </row>
    <row r="75" spans="2:27" x14ac:dyDescent="0.15">
      <c r="B75" t="s">
        <v>568</v>
      </c>
      <c r="C75" s="172">
        <v>6.5500000000000003E-2</v>
      </c>
    </row>
    <row r="76" spans="2:27" x14ac:dyDescent="0.15">
      <c r="B76" t="s">
        <v>569</v>
      </c>
      <c r="C76" s="170">
        <v>0.25</v>
      </c>
    </row>
    <row r="77" spans="2:27" x14ac:dyDescent="0.15">
      <c r="B77" t="s">
        <v>570</v>
      </c>
    </row>
    <row r="78" spans="2:27" x14ac:dyDescent="0.15">
      <c r="C78" s="259"/>
      <c r="D78" s="259"/>
      <c r="E78" s="259"/>
    </row>
    <row r="79" spans="2:27" x14ac:dyDescent="0.15">
      <c r="C79" s="172"/>
      <c r="D79" s="172"/>
      <c r="E79" s="172"/>
    </row>
  </sheetData>
  <mergeCells count="11">
    <mergeCell ref="C78:E78"/>
    <mergeCell ref="Z4:AA4"/>
    <mergeCell ref="V4:W4"/>
    <mergeCell ref="K3:L3"/>
    <mergeCell ref="G4:S4"/>
    <mergeCell ref="C51:D51"/>
    <mergeCell ref="J5:L5"/>
    <mergeCell ref="N5:O5"/>
    <mergeCell ref="C40:N40"/>
    <mergeCell ref="C32:D32"/>
    <mergeCell ref="C46:D46"/>
  </mergeCells>
  <phoneticPr fontId="14" type="noConversion"/>
  <dataValidations count="6">
    <dataValidation type="list" allowBlank="1" showInputMessage="1" showErrorMessage="1" sqref="F42">
      <formula1>$N$6:$N$10</formula1>
    </dataValidation>
    <dataValidation type="list" allowBlank="1" showInputMessage="1" showErrorMessage="1" sqref="P42">
      <formula1>$F$38:$F$44</formula1>
    </dataValidation>
    <dataValidation type="list" allowBlank="1" showInputMessage="1" showErrorMessage="1" sqref="C42">
      <formula1>$G$6:$G$15</formula1>
    </dataValidation>
    <dataValidation type="list" allowBlank="1" showInputMessage="1" showErrorMessage="1" sqref="L42">
      <formula1>$R$6:$R$9</formula1>
    </dataValidation>
    <dataValidation type="list" errorStyle="information" allowBlank="1" showInputMessage="1" showErrorMessage="1" error="please input valid number 1-7" sqref="C34">
      <formula1>$D$6:$D$11</formula1>
    </dataValidation>
    <dataValidation type="list" allowBlank="1" showInputMessage="1" showErrorMessage="1" sqref="C48">
      <formula1>$V$6:$V$8</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28"/>
  <sheetViews>
    <sheetView topLeftCell="D1" workbookViewId="0">
      <selection activeCell="H3" sqref="H3"/>
    </sheetView>
  </sheetViews>
  <sheetFormatPr defaultRowHeight="13.5" x14ac:dyDescent="0.15"/>
  <cols>
    <col min="2" max="2" width="40.5" bestFit="1" customWidth="1"/>
    <col min="3" max="3" width="12.875" bestFit="1" customWidth="1"/>
    <col min="4" max="4" width="11.625" bestFit="1" customWidth="1"/>
    <col min="5" max="5" width="26.875" bestFit="1" customWidth="1"/>
    <col min="6" max="6" width="18.875" bestFit="1" customWidth="1"/>
    <col min="7" max="7" width="18.375" style="188" bestFit="1" customWidth="1"/>
    <col min="8" max="8" width="34.5" style="232" customWidth="1"/>
    <col min="9" max="9" width="16.625" style="8" customWidth="1"/>
    <col min="10" max="10" width="16.25" style="8" customWidth="1"/>
    <col min="11" max="11" width="11.75" style="8" customWidth="1"/>
  </cols>
  <sheetData>
    <row r="1" spans="1:11" ht="48.75" customHeight="1" x14ac:dyDescent="0.15">
      <c r="I1" s="232"/>
      <c r="J1" s="8" t="e">
        <f>VLOOKUP("GLP existing customer with good rental payment record",Criteria!D41:E44,1,0)</f>
        <v>#N/A</v>
      </c>
    </row>
    <row r="2" spans="1:11" ht="27" x14ac:dyDescent="0.25">
      <c r="A2" s="234" t="s">
        <v>684</v>
      </c>
      <c r="B2" s="233" t="s">
        <v>743</v>
      </c>
      <c r="C2" s="165" t="s">
        <v>703</v>
      </c>
      <c r="D2" s="165" t="s">
        <v>62</v>
      </c>
      <c r="E2" s="165" t="s">
        <v>708</v>
      </c>
      <c r="F2" s="166" t="s">
        <v>738</v>
      </c>
      <c r="H2" s="250" t="s">
        <v>740</v>
      </c>
      <c r="I2" s="236" t="s">
        <v>697</v>
      </c>
      <c r="J2" s="236" t="s">
        <v>693</v>
      </c>
      <c r="K2" s="236" t="s">
        <v>694</v>
      </c>
    </row>
    <row r="3" spans="1:11" ht="69" customHeight="1" x14ac:dyDescent="0.15">
      <c r="B3" s="162" t="s">
        <v>689</v>
      </c>
      <c r="C3" s="1">
        <v>2</v>
      </c>
      <c r="D3" s="1" t="s">
        <v>560</v>
      </c>
      <c r="E3" s="1">
        <v>1</v>
      </c>
      <c r="F3" s="163">
        <v>33825000</v>
      </c>
      <c r="G3" s="188">
        <f>F3/10000</f>
        <v>3382.5</v>
      </c>
      <c r="H3" s="251" t="s">
        <v>757</v>
      </c>
      <c r="I3" s="8" t="s">
        <v>699</v>
      </c>
      <c r="J3" s="8" t="s">
        <v>698</v>
      </c>
      <c r="K3" s="249">
        <v>0.5</v>
      </c>
    </row>
    <row r="4" spans="1:11" ht="283.5" x14ac:dyDescent="0.15">
      <c r="B4" s="162" t="s">
        <v>435</v>
      </c>
      <c r="C4" s="1">
        <v>3</v>
      </c>
      <c r="D4" s="1" t="s">
        <v>64</v>
      </c>
      <c r="E4" s="1">
        <v>2</v>
      </c>
      <c r="F4" s="163">
        <v>12915000</v>
      </c>
      <c r="G4" s="188">
        <f t="shared" ref="G4:G67" si="0">F4/10000</f>
        <v>1291.5</v>
      </c>
      <c r="H4" s="232" t="s">
        <v>752</v>
      </c>
      <c r="I4" s="8" t="s">
        <v>753</v>
      </c>
      <c r="J4" s="8" t="s">
        <v>754</v>
      </c>
      <c r="K4" s="249">
        <v>0.4</v>
      </c>
    </row>
    <row r="5" spans="1:11" ht="14.25" x14ac:dyDescent="0.15">
      <c r="B5" s="162" t="s">
        <v>436</v>
      </c>
      <c r="C5" s="1">
        <v>6</v>
      </c>
      <c r="D5" s="1" t="s">
        <v>65</v>
      </c>
      <c r="E5" s="1" t="s">
        <v>559</v>
      </c>
      <c r="F5" s="164">
        <v>70000000</v>
      </c>
      <c r="G5" s="188">
        <f t="shared" si="0"/>
        <v>7000</v>
      </c>
    </row>
    <row r="6" spans="1:11" ht="14.25" x14ac:dyDescent="0.15">
      <c r="B6" s="162" t="s">
        <v>437</v>
      </c>
      <c r="C6" s="1">
        <v>5</v>
      </c>
      <c r="D6" s="1" t="s">
        <v>66</v>
      </c>
      <c r="E6" s="1" t="s">
        <v>559</v>
      </c>
      <c r="F6" s="163">
        <v>10000000</v>
      </c>
      <c r="G6" s="188">
        <f t="shared" si="0"/>
        <v>1000</v>
      </c>
    </row>
    <row r="7" spans="1:11" ht="14.25" x14ac:dyDescent="0.15">
      <c r="B7" s="162" t="s">
        <v>438</v>
      </c>
      <c r="C7" s="1"/>
      <c r="D7" s="1"/>
      <c r="E7" s="1"/>
      <c r="F7" s="163">
        <v>178350000</v>
      </c>
      <c r="G7" s="188">
        <f t="shared" si="0"/>
        <v>17835</v>
      </c>
    </row>
    <row r="8" spans="1:11" ht="14.25" x14ac:dyDescent="0.15">
      <c r="B8" s="162" t="s">
        <v>439</v>
      </c>
      <c r="C8" s="1">
        <v>7</v>
      </c>
      <c r="D8" s="1"/>
      <c r="E8" s="1"/>
      <c r="F8" s="163">
        <v>1000000</v>
      </c>
      <c r="G8" s="188">
        <f t="shared" si="0"/>
        <v>100</v>
      </c>
    </row>
    <row r="9" spans="1:11" ht="14.25" x14ac:dyDescent="0.15">
      <c r="B9" s="162" t="s">
        <v>440</v>
      </c>
      <c r="C9" s="1">
        <v>7</v>
      </c>
      <c r="D9" s="1" t="s">
        <v>67</v>
      </c>
      <c r="E9" s="1" t="s">
        <v>559</v>
      </c>
      <c r="F9" s="163">
        <v>500000</v>
      </c>
      <c r="G9" s="188">
        <f t="shared" si="0"/>
        <v>50</v>
      </c>
    </row>
    <row r="10" spans="1:11" ht="14.25" x14ac:dyDescent="0.15">
      <c r="B10" s="162" t="s">
        <v>441</v>
      </c>
      <c r="C10" s="1">
        <v>6</v>
      </c>
      <c r="D10" s="1" t="s">
        <v>68</v>
      </c>
      <c r="E10" s="1">
        <v>3</v>
      </c>
      <c r="F10" s="163">
        <v>35670000</v>
      </c>
      <c r="G10" s="188">
        <f t="shared" si="0"/>
        <v>3567</v>
      </c>
    </row>
    <row r="11" spans="1:11" ht="14.25" x14ac:dyDescent="0.15">
      <c r="B11" s="162" t="s">
        <v>442</v>
      </c>
      <c r="C11" s="1">
        <v>7</v>
      </c>
      <c r="D11" s="1" t="s">
        <v>66</v>
      </c>
      <c r="E11" s="1" t="s">
        <v>559</v>
      </c>
      <c r="F11" s="163">
        <v>10000000</v>
      </c>
      <c r="G11" s="188">
        <f t="shared" si="0"/>
        <v>1000</v>
      </c>
    </row>
    <row r="12" spans="1:11" ht="14.25" x14ac:dyDescent="0.15">
      <c r="B12" s="162" t="s">
        <v>683</v>
      </c>
      <c r="C12" s="1">
        <v>2</v>
      </c>
      <c r="D12" s="1" t="s">
        <v>69</v>
      </c>
      <c r="E12" s="1">
        <v>1</v>
      </c>
      <c r="F12" s="163">
        <v>510000000</v>
      </c>
      <c r="G12" s="188">
        <f t="shared" si="0"/>
        <v>51000</v>
      </c>
    </row>
    <row r="13" spans="1:11" ht="14.25" x14ac:dyDescent="0.15">
      <c r="B13" s="162" t="s">
        <v>443</v>
      </c>
      <c r="C13" s="1">
        <v>6</v>
      </c>
      <c r="D13" s="1" t="s">
        <v>70</v>
      </c>
      <c r="E13" s="1">
        <v>3</v>
      </c>
      <c r="F13" s="163">
        <v>103320000</v>
      </c>
      <c r="G13" s="188">
        <f t="shared" si="0"/>
        <v>10332</v>
      </c>
    </row>
    <row r="14" spans="1:11" ht="14.25" x14ac:dyDescent="0.15">
      <c r="B14" s="162" t="s">
        <v>444</v>
      </c>
      <c r="C14" s="1">
        <v>8</v>
      </c>
      <c r="D14" s="1" t="s">
        <v>71</v>
      </c>
      <c r="E14" s="1">
        <v>3</v>
      </c>
      <c r="F14" s="163">
        <v>20250000</v>
      </c>
      <c r="G14" s="188">
        <f t="shared" si="0"/>
        <v>2025</v>
      </c>
    </row>
    <row r="15" spans="1:11" ht="14.25" x14ac:dyDescent="0.15">
      <c r="B15" s="162" t="s">
        <v>445</v>
      </c>
      <c r="C15" s="1">
        <v>5</v>
      </c>
      <c r="D15" s="1">
        <v>0</v>
      </c>
      <c r="E15" s="1"/>
      <c r="F15" s="163">
        <v>5000000</v>
      </c>
      <c r="G15" s="188">
        <f t="shared" si="0"/>
        <v>500</v>
      </c>
    </row>
    <row r="16" spans="1:11" ht="14.25" x14ac:dyDescent="0.15">
      <c r="B16" s="162" t="s">
        <v>446</v>
      </c>
      <c r="C16" s="1">
        <v>7</v>
      </c>
      <c r="D16" s="1" t="s">
        <v>72</v>
      </c>
      <c r="E16" s="1" t="s">
        <v>576</v>
      </c>
      <c r="F16" s="163">
        <v>100000000</v>
      </c>
      <c r="G16" s="188">
        <f t="shared" si="0"/>
        <v>10000</v>
      </c>
    </row>
    <row r="17" spans="2:7" ht="14.25" x14ac:dyDescent="0.15">
      <c r="B17" s="162" t="s">
        <v>447</v>
      </c>
      <c r="C17" s="1">
        <v>4</v>
      </c>
      <c r="D17" s="1" t="s">
        <v>73</v>
      </c>
      <c r="E17" s="1">
        <v>2</v>
      </c>
      <c r="F17" s="163">
        <v>209100000</v>
      </c>
      <c r="G17" s="188">
        <f t="shared" si="0"/>
        <v>20910</v>
      </c>
    </row>
    <row r="18" spans="2:7" ht="14.25" x14ac:dyDescent="0.15">
      <c r="B18" s="162" t="s">
        <v>448</v>
      </c>
      <c r="C18" s="1">
        <v>1</v>
      </c>
      <c r="D18" s="1" t="s">
        <v>63</v>
      </c>
      <c r="E18" s="1">
        <v>1</v>
      </c>
      <c r="F18" s="163">
        <v>29766000</v>
      </c>
      <c r="G18" s="188">
        <f t="shared" si="0"/>
        <v>2976.6</v>
      </c>
    </row>
    <row r="19" spans="2:7" ht="14.25" x14ac:dyDescent="0.15">
      <c r="B19" s="162" t="s">
        <v>449</v>
      </c>
      <c r="C19" s="1">
        <v>8</v>
      </c>
      <c r="D19" s="1" t="s">
        <v>67</v>
      </c>
      <c r="E19" s="1" t="s">
        <v>576</v>
      </c>
      <c r="F19" s="163">
        <v>500000</v>
      </c>
      <c r="G19" s="188">
        <f t="shared" si="0"/>
        <v>50</v>
      </c>
    </row>
    <row r="20" spans="2:7" ht="14.25" x14ac:dyDescent="0.15">
      <c r="B20" s="162" t="s">
        <v>450</v>
      </c>
      <c r="C20" s="1">
        <v>5</v>
      </c>
      <c r="D20" s="1" t="s">
        <v>74</v>
      </c>
      <c r="E20" s="1" t="s">
        <v>576</v>
      </c>
      <c r="F20" s="163">
        <v>5000000</v>
      </c>
      <c r="G20" s="188">
        <f t="shared" si="0"/>
        <v>500</v>
      </c>
    </row>
    <row r="21" spans="2:7" ht="14.25" x14ac:dyDescent="0.15">
      <c r="B21" s="162" t="s">
        <v>451</v>
      </c>
      <c r="C21" s="1">
        <v>6</v>
      </c>
      <c r="D21" s="1" t="s">
        <v>68</v>
      </c>
      <c r="E21" s="1">
        <v>3</v>
      </c>
      <c r="F21" s="163">
        <v>10393000</v>
      </c>
      <c r="G21" s="188">
        <f t="shared" si="0"/>
        <v>1039.3</v>
      </c>
    </row>
    <row r="22" spans="2:7" ht="14.25" x14ac:dyDescent="0.15">
      <c r="B22" s="162" t="s">
        <v>452</v>
      </c>
      <c r="C22" s="1">
        <v>3</v>
      </c>
      <c r="D22" s="1" t="s">
        <v>73</v>
      </c>
      <c r="E22" s="1">
        <v>2</v>
      </c>
      <c r="F22" s="163">
        <v>153750000</v>
      </c>
      <c r="G22" s="188">
        <f t="shared" si="0"/>
        <v>15375</v>
      </c>
    </row>
    <row r="23" spans="2:7" ht="14.25" x14ac:dyDescent="0.15">
      <c r="B23" s="162" t="s">
        <v>453</v>
      </c>
      <c r="C23" s="1">
        <v>3</v>
      </c>
      <c r="D23" s="1" t="s">
        <v>75</v>
      </c>
      <c r="E23" s="1">
        <v>2</v>
      </c>
      <c r="F23" s="163">
        <v>700000000</v>
      </c>
      <c r="G23" s="188">
        <f t="shared" si="0"/>
        <v>70000</v>
      </c>
    </row>
    <row r="24" spans="2:7" ht="14.25" x14ac:dyDescent="0.15">
      <c r="B24" s="162" t="s">
        <v>454</v>
      </c>
      <c r="C24" s="1">
        <v>3</v>
      </c>
      <c r="D24" s="1" t="s">
        <v>76</v>
      </c>
      <c r="E24" s="1">
        <v>2</v>
      </c>
      <c r="F24" s="163">
        <v>10000000</v>
      </c>
      <c r="G24" s="188">
        <f t="shared" si="0"/>
        <v>1000</v>
      </c>
    </row>
    <row r="25" spans="2:7" ht="14.25" x14ac:dyDescent="0.15">
      <c r="B25" s="162" t="s">
        <v>455</v>
      </c>
      <c r="C25" s="1">
        <v>7</v>
      </c>
      <c r="D25" s="1" t="s">
        <v>77</v>
      </c>
      <c r="E25" s="1">
        <v>3</v>
      </c>
      <c r="F25" s="163">
        <v>500000</v>
      </c>
      <c r="G25" s="188">
        <f t="shared" si="0"/>
        <v>50</v>
      </c>
    </row>
    <row r="26" spans="2:7" ht="14.25" x14ac:dyDescent="0.15">
      <c r="B26" s="162" t="s">
        <v>456</v>
      </c>
      <c r="C26" s="1">
        <v>6</v>
      </c>
      <c r="D26" s="1" t="s">
        <v>78</v>
      </c>
      <c r="E26" s="1">
        <v>3</v>
      </c>
      <c r="F26" s="163">
        <v>5000000</v>
      </c>
      <c r="G26" s="188">
        <f t="shared" si="0"/>
        <v>500</v>
      </c>
    </row>
    <row r="27" spans="2:7" ht="14.25" x14ac:dyDescent="0.15">
      <c r="B27" s="162" t="s">
        <v>457</v>
      </c>
      <c r="C27" s="1">
        <v>4</v>
      </c>
      <c r="D27" s="1" t="s">
        <v>75</v>
      </c>
      <c r="E27" s="1">
        <v>2</v>
      </c>
      <c r="F27" s="163">
        <v>29050000</v>
      </c>
      <c r="G27" s="188">
        <f t="shared" si="0"/>
        <v>2905</v>
      </c>
    </row>
    <row r="28" spans="2:7" ht="14.25" x14ac:dyDescent="0.15">
      <c r="B28" s="162" t="s">
        <v>458</v>
      </c>
      <c r="C28" s="1">
        <v>7</v>
      </c>
      <c r="D28" s="1" t="s">
        <v>66</v>
      </c>
      <c r="E28" s="1" t="s">
        <v>576</v>
      </c>
      <c r="F28" s="163">
        <v>57078752</v>
      </c>
      <c r="G28" s="188">
        <f t="shared" si="0"/>
        <v>5707.8752000000004</v>
      </c>
    </row>
    <row r="29" spans="2:7" ht="14.25" x14ac:dyDescent="0.15">
      <c r="B29" s="162" t="s">
        <v>459</v>
      </c>
      <c r="C29" s="1">
        <v>3</v>
      </c>
      <c r="D29" s="1" t="s">
        <v>79</v>
      </c>
      <c r="E29" s="1">
        <v>2</v>
      </c>
      <c r="F29" s="163">
        <v>7530000</v>
      </c>
      <c r="G29" s="188">
        <f t="shared" si="0"/>
        <v>753</v>
      </c>
    </row>
    <row r="30" spans="2:7" ht="14.25" x14ac:dyDescent="0.15">
      <c r="B30" s="162" t="s">
        <v>460</v>
      </c>
      <c r="C30" s="1">
        <v>8</v>
      </c>
      <c r="D30" s="1" t="s">
        <v>80</v>
      </c>
      <c r="E30" s="1">
        <v>3</v>
      </c>
      <c r="F30" s="163">
        <v>5500000</v>
      </c>
      <c r="G30" s="188">
        <f t="shared" si="0"/>
        <v>550</v>
      </c>
    </row>
    <row r="31" spans="2:7" ht="14.25" x14ac:dyDescent="0.15">
      <c r="B31" s="162" t="s">
        <v>461</v>
      </c>
      <c r="C31" s="1"/>
      <c r="D31" s="1" t="s">
        <v>81</v>
      </c>
      <c r="E31" s="1">
        <v>4</v>
      </c>
      <c r="F31" s="163">
        <v>1230000</v>
      </c>
      <c r="G31" s="188">
        <f t="shared" si="0"/>
        <v>123</v>
      </c>
    </row>
    <row r="32" spans="2:7" ht="14.25" x14ac:dyDescent="0.15">
      <c r="B32" s="162" t="s">
        <v>462</v>
      </c>
      <c r="C32" s="1">
        <v>6</v>
      </c>
      <c r="D32" s="1" t="s">
        <v>82</v>
      </c>
      <c r="E32" s="1">
        <v>3</v>
      </c>
      <c r="F32" s="163">
        <v>1000000</v>
      </c>
      <c r="G32" s="188">
        <f t="shared" si="0"/>
        <v>100</v>
      </c>
    </row>
    <row r="33" spans="2:7" ht="14.25" x14ac:dyDescent="0.15">
      <c r="B33" s="162" t="s">
        <v>463</v>
      </c>
      <c r="C33" s="1">
        <v>7</v>
      </c>
      <c r="D33" s="1" t="s">
        <v>70</v>
      </c>
      <c r="E33" s="1">
        <v>3</v>
      </c>
      <c r="F33" s="163">
        <v>300000000</v>
      </c>
      <c r="G33" s="188">
        <f t="shared" si="0"/>
        <v>30000</v>
      </c>
    </row>
    <row r="34" spans="2:7" ht="14.25" x14ac:dyDescent="0.15">
      <c r="B34" s="162" t="s">
        <v>464</v>
      </c>
      <c r="C34" s="1">
        <v>8</v>
      </c>
      <c r="D34" s="1" t="s">
        <v>83</v>
      </c>
      <c r="E34" s="1">
        <v>3</v>
      </c>
      <c r="F34" s="163">
        <v>246000000</v>
      </c>
      <c r="G34" s="188">
        <f t="shared" si="0"/>
        <v>24600</v>
      </c>
    </row>
    <row r="35" spans="2:7" ht="14.25" x14ac:dyDescent="0.15">
      <c r="B35" s="162" t="s">
        <v>465</v>
      </c>
      <c r="C35" s="1">
        <v>6</v>
      </c>
      <c r="D35" s="1" t="s">
        <v>68</v>
      </c>
      <c r="E35" s="1">
        <v>3</v>
      </c>
      <c r="F35" s="163">
        <v>9100000</v>
      </c>
      <c r="G35" s="188">
        <f t="shared" si="0"/>
        <v>910</v>
      </c>
    </row>
    <row r="36" spans="2:7" ht="14.25" x14ac:dyDescent="0.15">
      <c r="B36" s="162" t="s">
        <v>466</v>
      </c>
      <c r="C36" s="1">
        <v>6</v>
      </c>
      <c r="D36" s="1" t="s">
        <v>71</v>
      </c>
      <c r="E36" s="1">
        <v>3</v>
      </c>
      <c r="F36" s="163">
        <v>10000000</v>
      </c>
      <c r="G36" s="188">
        <f t="shared" si="0"/>
        <v>1000</v>
      </c>
    </row>
    <row r="37" spans="2:7" ht="14.25" x14ac:dyDescent="0.15">
      <c r="B37" s="162" t="s">
        <v>467</v>
      </c>
      <c r="C37" s="1">
        <v>6</v>
      </c>
      <c r="D37" s="1" t="s">
        <v>68</v>
      </c>
      <c r="E37" s="1">
        <v>3</v>
      </c>
      <c r="F37" s="163">
        <v>10000000</v>
      </c>
      <c r="G37" s="188">
        <f t="shared" si="0"/>
        <v>1000</v>
      </c>
    </row>
    <row r="38" spans="2:7" ht="14.25" x14ac:dyDescent="0.15">
      <c r="B38" s="162" t="s">
        <v>468</v>
      </c>
      <c r="C38" s="1">
        <v>1</v>
      </c>
      <c r="D38" s="1" t="s">
        <v>84</v>
      </c>
      <c r="E38" s="1">
        <v>1</v>
      </c>
      <c r="F38" s="163">
        <v>20880000</v>
      </c>
      <c r="G38" s="188">
        <f t="shared" si="0"/>
        <v>2088</v>
      </c>
    </row>
    <row r="39" spans="2:7" ht="14.25" x14ac:dyDescent="0.15">
      <c r="B39" s="162" t="s">
        <v>469</v>
      </c>
      <c r="C39" s="1">
        <v>9</v>
      </c>
      <c r="D39" s="1" t="s">
        <v>85</v>
      </c>
      <c r="E39" s="1" t="s">
        <v>576</v>
      </c>
      <c r="F39" s="163">
        <v>25000000</v>
      </c>
      <c r="G39" s="188">
        <f t="shared" si="0"/>
        <v>2500</v>
      </c>
    </row>
    <row r="40" spans="2:7" ht="14.25" x14ac:dyDescent="0.15">
      <c r="B40" s="162" t="s">
        <v>470</v>
      </c>
      <c r="C40" s="1">
        <v>3</v>
      </c>
      <c r="D40" s="1" t="s">
        <v>76</v>
      </c>
      <c r="E40" s="1">
        <v>2</v>
      </c>
      <c r="F40" s="163">
        <v>3000000</v>
      </c>
      <c r="G40" s="188">
        <f t="shared" si="0"/>
        <v>300</v>
      </c>
    </row>
    <row r="41" spans="2:7" ht="14.25" x14ac:dyDescent="0.15">
      <c r="B41" s="162" t="s">
        <v>471</v>
      </c>
      <c r="C41" s="1">
        <v>3</v>
      </c>
      <c r="D41" s="1" t="s">
        <v>86</v>
      </c>
      <c r="E41" s="1">
        <v>2</v>
      </c>
      <c r="F41" s="163">
        <v>1242423000</v>
      </c>
      <c r="G41" s="188">
        <f t="shared" si="0"/>
        <v>124242.3</v>
      </c>
    </row>
    <row r="42" spans="2:7" ht="14.25" x14ac:dyDescent="0.15">
      <c r="B42" s="162" t="s">
        <v>472</v>
      </c>
      <c r="C42" s="1">
        <v>6</v>
      </c>
      <c r="D42" s="1" t="s">
        <v>74</v>
      </c>
      <c r="E42" s="1" t="s">
        <v>576</v>
      </c>
      <c r="F42" s="163">
        <v>5000000</v>
      </c>
      <c r="G42" s="188">
        <f t="shared" si="0"/>
        <v>500</v>
      </c>
    </row>
    <row r="43" spans="2:7" ht="14.25" x14ac:dyDescent="0.15">
      <c r="B43" s="162" t="s">
        <v>473</v>
      </c>
      <c r="C43" s="1"/>
      <c r="D43" s="1" t="s">
        <v>87</v>
      </c>
      <c r="E43" s="1">
        <v>3</v>
      </c>
      <c r="F43" s="163">
        <v>5000000</v>
      </c>
      <c r="G43" s="188">
        <f t="shared" si="0"/>
        <v>500</v>
      </c>
    </row>
    <row r="44" spans="2:7" ht="14.25" x14ac:dyDescent="0.15">
      <c r="B44" s="162" t="s">
        <v>474</v>
      </c>
      <c r="C44" s="1">
        <v>1</v>
      </c>
      <c r="D44" s="1" t="s">
        <v>63</v>
      </c>
      <c r="E44" s="1">
        <v>1</v>
      </c>
      <c r="F44" s="163">
        <v>20000000</v>
      </c>
      <c r="G44" s="188">
        <f t="shared" si="0"/>
        <v>2000</v>
      </c>
    </row>
    <row r="45" spans="2:7" ht="14.25" x14ac:dyDescent="0.15">
      <c r="B45" s="162" t="s">
        <v>475</v>
      </c>
      <c r="C45" s="1">
        <v>8</v>
      </c>
      <c r="D45" s="1" t="s">
        <v>82</v>
      </c>
      <c r="E45" s="1">
        <v>3</v>
      </c>
      <c r="F45" s="163">
        <v>1000000</v>
      </c>
      <c r="G45" s="188">
        <f t="shared" si="0"/>
        <v>100</v>
      </c>
    </row>
    <row r="46" spans="2:7" ht="14.25" x14ac:dyDescent="0.15">
      <c r="B46" s="162" t="s">
        <v>476</v>
      </c>
      <c r="C46" s="1">
        <v>8</v>
      </c>
      <c r="D46" s="1"/>
      <c r="E46" s="1"/>
      <c r="F46" s="163">
        <v>35000000</v>
      </c>
      <c r="G46" s="188">
        <f t="shared" si="0"/>
        <v>3500</v>
      </c>
    </row>
    <row r="47" spans="2:7" ht="14.25" x14ac:dyDescent="0.15">
      <c r="B47" s="162" t="s">
        <v>477</v>
      </c>
      <c r="C47" s="1">
        <v>6</v>
      </c>
      <c r="D47" s="1" t="s">
        <v>83</v>
      </c>
      <c r="E47" s="1">
        <v>3</v>
      </c>
      <c r="F47" s="163">
        <v>50846970</v>
      </c>
      <c r="G47" s="188">
        <f t="shared" si="0"/>
        <v>5084.6970000000001</v>
      </c>
    </row>
    <row r="48" spans="2:7" ht="14.25" x14ac:dyDescent="0.15">
      <c r="B48" s="162" t="s">
        <v>478</v>
      </c>
      <c r="C48" s="1">
        <v>1</v>
      </c>
      <c r="D48" s="1" t="s">
        <v>84</v>
      </c>
      <c r="E48" s="1">
        <v>1</v>
      </c>
      <c r="F48" s="163">
        <v>43111500</v>
      </c>
      <c r="G48" s="188">
        <f t="shared" si="0"/>
        <v>4311.1499999999996</v>
      </c>
    </row>
    <row r="49" spans="2:7" ht="14.25" x14ac:dyDescent="0.15">
      <c r="B49" s="162" t="s">
        <v>479</v>
      </c>
      <c r="C49" s="1">
        <v>6</v>
      </c>
      <c r="D49" s="1" t="s">
        <v>68</v>
      </c>
      <c r="E49" s="1">
        <v>3</v>
      </c>
      <c r="F49" s="163">
        <v>12140100</v>
      </c>
      <c r="G49" s="188">
        <f t="shared" si="0"/>
        <v>1214.01</v>
      </c>
    </row>
    <row r="50" spans="2:7" ht="14.25" x14ac:dyDescent="0.15">
      <c r="B50" s="162" t="s">
        <v>480</v>
      </c>
      <c r="C50" s="1">
        <v>4</v>
      </c>
      <c r="D50" s="1" t="s">
        <v>88</v>
      </c>
      <c r="E50" s="1" t="s">
        <v>576</v>
      </c>
      <c r="F50" s="163">
        <v>1018394483</v>
      </c>
      <c r="G50" s="188">
        <f t="shared" si="0"/>
        <v>101839.4483</v>
      </c>
    </row>
    <row r="51" spans="2:7" ht="14.25" x14ac:dyDescent="0.15">
      <c r="B51" s="162" t="s">
        <v>481</v>
      </c>
      <c r="C51" s="1">
        <v>6</v>
      </c>
      <c r="D51" s="1" t="s">
        <v>87</v>
      </c>
      <c r="E51" s="1">
        <v>3</v>
      </c>
      <c r="F51" s="163">
        <v>10880000</v>
      </c>
      <c r="G51" s="188">
        <f t="shared" si="0"/>
        <v>1088</v>
      </c>
    </row>
    <row r="52" spans="2:7" ht="14.25" x14ac:dyDescent="0.15">
      <c r="B52" s="162" t="s">
        <v>482</v>
      </c>
      <c r="C52" s="1">
        <v>5</v>
      </c>
      <c r="D52" s="1" t="s">
        <v>89</v>
      </c>
      <c r="E52" s="1">
        <v>2</v>
      </c>
      <c r="F52" s="163">
        <v>1230000</v>
      </c>
      <c r="G52" s="188">
        <f t="shared" si="0"/>
        <v>123</v>
      </c>
    </row>
    <row r="53" spans="2:7" ht="14.25" x14ac:dyDescent="0.15">
      <c r="B53" s="162" t="s">
        <v>483</v>
      </c>
      <c r="C53" s="1">
        <v>4</v>
      </c>
      <c r="D53" s="1" t="s">
        <v>4</v>
      </c>
      <c r="E53" s="1"/>
      <c r="F53" s="163">
        <v>73800000</v>
      </c>
      <c r="G53" s="188">
        <f t="shared" si="0"/>
        <v>7380</v>
      </c>
    </row>
    <row r="54" spans="2:7" ht="14.25" x14ac:dyDescent="0.15">
      <c r="B54" s="162" t="s">
        <v>484</v>
      </c>
      <c r="C54" s="1">
        <v>6</v>
      </c>
      <c r="D54" s="1" t="s">
        <v>74</v>
      </c>
      <c r="E54" s="1" t="s">
        <v>576</v>
      </c>
      <c r="F54" s="163">
        <v>5000000</v>
      </c>
      <c r="G54" s="188">
        <f t="shared" si="0"/>
        <v>500</v>
      </c>
    </row>
    <row r="55" spans="2:7" ht="14.25" x14ac:dyDescent="0.15">
      <c r="B55" s="162" t="s">
        <v>485</v>
      </c>
      <c r="C55" s="1">
        <v>7</v>
      </c>
      <c r="D55" s="1" t="s">
        <v>90</v>
      </c>
      <c r="E55" s="1" t="s">
        <v>576</v>
      </c>
      <c r="F55" s="163">
        <v>1000000</v>
      </c>
      <c r="G55" s="188">
        <f t="shared" si="0"/>
        <v>100</v>
      </c>
    </row>
    <row r="56" spans="2:7" ht="14.25" x14ac:dyDescent="0.15">
      <c r="B56" s="162" t="s">
        <v>486</v>
      </c>
      <c r="C56" s="1">
        <v>10</v>
      </c>
      <c r="D56" s="1" t="s">
        <v>68</v>
      </c>
      <c r="E56" s="1">
        <v>3</v>
      </c>
      <c r="F56" s="163">
        <v>50000000</v>
      </c>
      <c r="G56" s="188">
        <f t="shared" si="0"/>
        <v>5000</v>
      </c>
    </row>
    <row r="57" spans="2:7" ht="14.25" x14ac:dyDescent="0.15">
      <c r="B57" s="162" t="s">
        <v>487</v>
      </c>
      <c r="C57" s="1">
        <v>5</v>
      </c>
      <c r="D57" s="1" t="s">
        <v>64</v>
      </c>
      <c r="E57" s="1">
        <v>2</v>
      </c>
      <c r="F57" s="163">
        <v>38000000</v>
      </c>
      <c r="G57" s="188">
        <f t="shared" si="0"/>
        <v>3800</v>
      </c>
    </row>
    <row r="58" spans="2:7" ht="14.25" x14ac:dyDescent="0.15">
      <c r="B58" s="162" t="s">
        <v>488</v>
      </c>
      <c r="C58" s="1">
        <v>7</v>
      </c>
      <c r="D58" s="1" t="s">
        <v>91</v>
      </c>
      <c r="E58" s="1">
        <v>3</v>
      </c>
      <c r="F58" s="163">
        <v>5000000</v>
      </c>
      <c r="G58" s="188">
        <f t="shared" si="0"/>
        <v>500</v>
      </c>
    </row>
    <row r="59" spans="2:7" ht="14.25" x14ac:dyDescent="0.15">
      <c r="B59" s="162" t="s">
        <v>489</v>
      </c>
      <c r="C59" s="1">
        <v>6</v>
      </c>
      <c r="D59" s="1" t="s">
        <v>83</v>
      </c>
      <c r="E59" s="1">
        <v>3</v>
      </c>
      <c r="F59" s="163">
        <v>374768600</v>
      </c>
      <c r="G59" s="188">
        <f t="shared" si="0"/>
        <v>37476.86</v>
      </c>
    </row>
    <row r="60" spans="2:7" ht="14.25" x14ac:dyDescent="0.15">
      <c r="B60" s="162" t="s">
        <v>490</v>
      </c>
      <c r="C60" s="1">
        <v>9</v>
      </c>
      <c r="D60" s="1" t="s">
        <v>92</v>
      </c>
      <c r="E60" s="1">
        <v>3</v>
      </c>
      <c r="F60" s="163">
        <v>5000000</v>
      </c>
      <c r="G60" s="188">
        <f t="shared" si="0"/>
        <v>500</v>
      </c>
    </row>
    <row r="61" spans="2:7" ht="14.25" x14ac:dyDescent="0.15">
      <c r="B61" s="162" t="s">
        <v>491</v>
      </c>
      <c r="C61" s="1">
        <v>9</v>
      </c>
      <c r="D61" s="1" t="s">
        <v>74</v>
      </c>
      <c r="E61" s="1" t="s">
        <v>576</v>
      </c>
      <c r="F61" s="163">
        <v>5000000</v>
      </c>
      <c r="G61" s="188">
        <f t="shared" si="0"/>
        <v>500</v>
      </c>
    </row>
    <row r="62" spans="2:7" ht="14.25" x14ac:dyDescent="0.15">
      <c r="B62" s="162" t="s">
        <v>492</v>
      </c>
      <c r="C62" s="1">
        <v>2</v>
      </c>
      <c r="D62" s="1" t="s">
        <v>63</v>
      </c>
      <c r="E62" s="1">
        <v>1</v>
      </c>
      <c r="F62" s="163">
        <v>30750000</v>
      </c>
      <c r="G62" s="188">
        <f t="shared" si="0"/>
        <v>3075</v>
      </c>
    </row>
    <row r="63" spans="2:7" ht="14.25" x14ac:dyDescent="0.15">
      <c r="B63" s="162" t="s">
        <v>493</v>
      </c>
      <c r="C63" s="1">
        <v>5</v>
      </c>
      <c r="D63" s="1"/>
      <c r="E63" s="1"/>
      <c r="F63" s="163">
        <v>100000000</v>
      </c>
      <c r="G63" s="188">
        <f t="shared" si="0"/>
        <v>10000</v>
      </c>
    </row>
    <row r="64" spans="2:7" ht="14.25" x14ac:dyDescent="0.15">
      <c r="B64" s="162" t="s">
        <v>494</v>
      </c>
      <c r="C64" s="1">
        <v>7</v>
      </c>
      <c r="D64" s="1" t="s">
        <v>68</v>
      </c>
      <c r="E64" s="1">
        <v>3</v>
      </c>
      <c r="F64" s="163">
        <v>78271460</v>
      </c>
      <c r="G64" s="188">
        <f t="shared" si="0"/>
        <v>7827.1459999999997</v>
      </c>
    </row>
    <row r="65" spans="2:7" ht="14.25" x14ac:dyDescent="0.15">
      <c r="B65" s="162" t="s">
        <v>495</v>
      </c>
      <c r="C65" s="1">
        <v>6</v>
      </c>
      <c r="D65" s="1" t="s">
        <v>66</v>
      </c>
      <c r="E65" s="1" t="s">
        <v>576</v>
      </c>
      <c r="F65" s="163">
        <v>10000000</v>
      </c>
      <c r="G65" s="188">
        <f t="shared" si="0"/>
        <v>1000</v>
      </c>
    </row>
    <row r="66" spans="2:7" ht="14.25" x14ac:dyDescent="0.15">
      <c r="B66" s="162" t="s">
        <v>496</v>
      </c>
      <c r="C66" s="1">
        <v>3</v>
      </c>
      <c r="D66" s="1" t="s">
        <v>65</v>
      </c>
      <c r="E66" s="1" t="s">
        <v>576</v>
      </c>
      <c r="F66" s="163">
        <v>21692895</v>
      </c>
      <c r="G66" s="188">
        <f t="shared" si="0"/>
        <v>2169.2894999999999</v>
      </c>
    </row>
    <row r="67" spans="2:7" ht="14.25" x14ac:dyDescent="0.15">
      <c r="B67" s="162" t="s">
        <v>497</v>
      </c>
      <c r="C67" s="1">
        <v>5</v>
      </c>
      <c r="D67" s="1" t="s">
        <v>64</v>
      </c>
      <c r="E67" s="1">
        <v>2</v>
      </c>
      <c r="F67" s="163">
        <v>10000000</v>
      </c>
      <c r="G67" s="188">
        <f t="shared" si="0"/>
        <v>1000</v>
      </c>
    </row>
    <row r="68" spans="2:7" ht="14.25" x14ac:dyDescent="0.15">
      <c r="B68" s="162" t="s">
        <v>498</v>
      </c>
      <c r="C68" s="1">
        <v>8</v>
      </c>
      <c r="D68" s="1" t="s">
        <v>77</v>
      </c>
      <c r="E68" s="1">
        <v>3</v>
      </c>
      <c r="F68" s="163">
        <v>3075000</v>
      </c>
      <c r="G68" s="188">
        <f t="shared" ref="G68:G128" si="1">F68/10000</f>
        <v>307.5</v>
      </c>
    </row>
    <row r="69" spans="2:7" ht="14.25" x14ac:dyDescent="0.15">
      <c r="B69" s="162" t="s">
        <v>499</v>
      </c>
      <c r="C69" s="1">
        <v>5</v>
      </c>
      <c r="D69" s="1" t="s">
        <v>93</v>
      </c>
      <c r="E69" s="1">
        <v>2</v>
      </c>
      <c r="F69" s="163">
        <v>3075000</v>
      </c>
      <c r="G69" s="188">
        <f t="shared" si="1"/>
        <v>307.5</v>
      </c>
    </row>
    <row r="70" spans="2:7" ht="14.25" x14ac:dyDescent="0.15">
      <c r="B70" s="162" t="s">
        <v>500</v>
      </c>
      <c r="C70" s="1">
        <v>5</v>
      </c>
      <c r="D70" s="1" t="s">
        <v>94</v>
      </c>
      <c r="E70" s="1">
        <v>2</v>
      </c>
      <c r="F70" s="163">
        <v>1500000</v>
      </c>
      <c r="G70" s="188">
        <f t="shared" si="1"/>
        <v>150</v>
      </c>
    </row>
    <row r="71" spans="2:7" ht="14.25" x14ac:dyDescent="0.15">
      <c r="B71" s="162" t="s">
        <v>501</v>
      </c>
      <c r="C71" s="1">
        <v>8</v>
      </c>
      <c r="D71" s="1" t="s">
        <v>95</v>
      </c>
      <c r="E71" s="1">
        <v>3</v>
      </c>
      <c r="F71" s="163">
        <v>2000000</v>
      </c>
      <c r="G71" s="188">
        <f t="shared" si="1"/>
        <v>200</v>
      </c>
    </row>
    <row r="72" spans="2:7" ht="14.25" x14ac:dyDescent="0.15">
      <c r="B72" s="162" t="s">
        <v>502</v>
      </c>
      <c r="C72" s="1">
        <v>4</v>
      </c>
      <c r="D72" s="1" t="s">
        <v>96</v>
      </c>
      <c r="E72" s="1">
        <v>2</v>
      </c>
      <c r="F72" s="163">
        <v>6000000</v>
      </c>
      <c r="G72" s="188">
        <f t="shared" si="1"/>
        <v>600</v>
      </c>
    </row>
    <row r="73" spans="2:7" ht="14.25" x14ac:dyDescent="0.15">
      <c r="B73" s="162" t="s">
        <v>503</v>
      </c>
      <c r="C73" s="1">
        <v>7</v>
      </c>
      <c r="D73" s="1" t="s">
        <v>80</v>
      </c>
      <c r="E73" s="1">
        <v>3</v>
      </c>
      <c r="F73" s="163">
        <v>1000000</v>
      </c>
      <c r="G73" s="188">
        <f t="shared" si="1"/>
        <v>100</v>
      </c>
    </row>
    <row r="74" spans="2:7" ht="14.25" x14ac:dyDescent="0.15">
      <c r="B74" s="162" t="s">
        <v>504</v>
      </c>
      <c r="C74" s="1">
        <v>9</v>
      </c>
      <c r="D74" s="1" t="s">
        <v>90</v>
      </c>
      <c r="E74" s="1" t="s">
        <v>576</v>
      </c>
      <c r="F74" s="163">
        <v>1000000</v>
      </c>
      <c r="G74" s="188">
        <f t="shared" si="1"/>
        <v>100</v>
      </c>
    </row>
    <row r="75" spans="2:7" ht="14.25" x14ac:dyDescent="0.15">
      <c r="B75" s="162" t="s">
        <v>505</v>
      </c>
      <c r="C75" s="1">
        <v>4</v>
      </c>
      <c r="D75" s="1" t="s">
        <v>97</v>
      </c>
      <c r="E75" s="1">
        <v>2</v>
      </c>
      <c r="F75" s="163">
        <v>3000000</v>
      </c>
      <c r="G75" s="188">
        <f t="shared" si="1"/>
        <v>300</v>
      </c>
    </row>
    <row r="76" spans="2:7" ht="14.25" x14ac:dyDescent="0.15">
      <c r="B76" s="162" t="s">
        <v>506</v>
      </c>
      <c r="C76" s="1">
        <v>6</v>
      </c>
      <c r="D76" s="1" t="s">
        <v>71</v>
      </c>
      <c r="E76" s="1">
        <v>3</v>
      </c>
      <c r="F76" s="163">
        <v>35000000</v>
      </c>
      <c r="G76" s="188">
        <f t="shared" si="1"/>
        <v>3500</v>
      </c>
    </row>
    <row r="77" spans="2:7" ht="14.25" x14ac:dyDescent="0.15">
      <c r="B77" s="162" t="s">
        <v>507</v>
      </c>
      <c r="C77" s="1">
        <v>1</v>
      </c>
      <c r="D77" s="1" t="s">
        <v>63</v>
      </c>
      <c r="E77" s="1">
        <v>1</v>
      </c>
      <c r="F77" s="163">
        <v>21000000</v>
      </c>
      <c r="G77" s="188">
        <f t="shared" si="1"/>
        <v>2100</v>
      </c>
    </row>
    <row r="78" spans="2:7" ht="14.25" x14ac:dyDescent="0.15">
      <c r="B78" s="162" t="s">
        <v>508</v>
      </c>
      <c r="C78" s="1">
        <v>7</v>
      </c>
      <c r="D78" s="1"/>
      <c r="E78" s="1"/>
      <c r="F78" s="163">
        <v>2000000</v>
      </c>
      <c r="G78" s="188">
        <f t="shared" si="1"/>
        <v>200</v>
      </c>
    </row>
    <row r="79" spans="2:7" ht="14.25" x14ac:dyDescent="0.15">
      <c r="B79" s="162" t="s">
        <v>509</v>
      </c>
      <c r="C79" s="1"/>
      <c r="D79" s="1" t="s">
        <v>98</v>
      </c>
      <c r="E79" s="1" t="s">
        <v>576</v>
      </c>
      <c r="F79" s="163">
        <v>3075000</v>
      </c>
      <c r="G79" s="188">
        <f t="shared" si="1"/>
        <v>307.5</v>
      </c>
    </row>
    <row r="80" spans="2:7" ht="14.25" x14ac:dyDescent="0.15">
      <c r="B80" s="162" t="s">
        <v>510</v>
      </c>
      <c r="C80" s="1">
        <v>7</v>
      </c>
      <c r="D80" s="1" t="s">
        <v>99</v>
      </c>
      <c r="E80" s="1">
        <v>3</v>
      </c>
      <c r="F80" s="163">
        <v>400000000</v>
      </c>
      <c r="G80" s="188">
        <f t="shared" si="1"/>
        <v>40000</v>
      </c>
    </row>
    <row r="81" spans="2:7" ht="14.25" x14ac:dyDescent="0.15">
      <c r="B81" s="162" t="s">
        <v>511</v>
      </c>
      <c r="C81" s="1">
        <v>4</v>
      </c>
      <c r="D81" s="1" t="s">
        <v>76</v>
      </c>
      <c r="E81" s="1">
        <v>2</v>
      </c>
      <c r="F81" s="163">
        <v>6150000</v>
      </c>
      <c r="G81" s="188">
        <f t="shared" si="1"/>
        <v>615</v>
      </c>
    </row>
    <row r="82" spans="2:7" ht="14.25" x14ac:dyDescent="0.15">
      <c r="B82" s="162" t="s">
        <v>512</v>
      </c>
      <c r="C82" s="1">
        <v>6</v>
      </c>
      <c r="D82" s="1" t="s">
        <v>68</v>
      </c>
      <c r="E82" s="1">
        <v>3</v>
      </c>
      <c r="F82" s="163">
        <v>8610000</v>
      </c>
      <c r="G82" s="188">
        <f t="shared" si="1"/>
        <v>861</v>
      </c>
    </row>
    <row r="83" spans="2:7" ht="14.25" x14ac:dyDescent="0.15">
      <c r="B83" s="162" t="s">
        <v>513</v>
      </c>
      <c r="C83" s="1">
        <v>6</v>
      </c>
      <c r="D83" s="1" t="s">
        <v>100</v>
      </c>
      <c r="E83" s="1">
        <v>3</v>
      </c>
      <c r="F83" s="163">
        <v>1000000</v>
      </c>
      <c r="G83" s="188">
        <f t="shared" si="1"/>
        <v>100</v>
      </c>
    </row>
    <row r="84" spans="2:7" ht="14.25" x14ac:dyDescent="0.15">
      <c r="B84" s="162" t="s">
        <v>514</v>
      </c>
      <c r="C84" s="1">
        <v>5</v>
      </c>
      <c r="D84" s="1" t="s">
        <v>66</v>
      </c>
      <c r="E84" s="1" t="s">
        <v>576</v>
      </c>
      <c r="F84" s="163">
        <v>16482000.000000002</v>
      </c>
      <c r="G84" s="188">
        <f t="shared" si="1"/>
        <v>1648.2000000000003</v>
      </c>
    </row>
    <row r="85" spans="2:7" ht="14.25" x14ac:dyDescent="0.15">
      <c r="B85" s="162" t="s">
        <v>515</v>
      </c>
      <c r="C85" s="1">
        <v>6</v>
      </c>
      <c r="D85" s="1" t="s">
        <v>71</v>
      </c>
      <c r="E85" s="1">
        <v>3</v>
      </c>
      <c r="F85" s="163">
        <v>10000000</v>
      </c>
      <c r="G85" s="188">
        <f t="shared" si="1"/>
        <v>1000</v>
      </c>
    </row>
    <row r="86" spans="2:7" ht="14.25" x14ac:dyDescent="0.15">
      <c r="B86" s="162" t="s">
        <v>516</v>
      </c>
      <c r="C86" s="1">
        <v>6</v>
      </c>
      <c r="D86" s="1" t="s">
        <v>101</v>
      </c>
      <c r="E86" s="1" t="s">
        <v>576</v>
      </c>
      <c r="F86" s="163">
        <v>813030000</v>
      </c>
      <c r="G86" s="188">
        <f t="shared" si="1"/>
        <v>81303</v>
      </c>
    </row>
    <row r="87" spans="2:7" ht="14.25" x14ac:dyDescent="0.15">
      <c r="B87" s="162" t="s">
        <v>517</v>
      </c>
      <c r="C87" s="1">
        <v>4</v>
      </c>
      <c r="D87" s="1" t="s">
        <v>73</v>
      </c>
      <c r="E87" s="1">
        <v>2</v>
      </c>
      <c r="F87" s="163">
        <v>301350000</v>
      </c>
      <c r="G87" s="188">
        <f t="shared" si="1"/>
        <v>30135</v>
      </c>
    </row>
    <row r="88" spans="2:7" ht="14.25" x14ac:dyDescent="0.15">
      <c r="B88" s="162" t="s">
        <v>518</v>
      </c>
      <c r="C88" s="1">
        <v>6</v>
      </c>
      <c r="D88" s="1" t="s">
        <v>78</v>
      </c>
      <c r="E88" s="1">
        <v>3</v>
      </c>
      <c r="F88" s="163">
        <v>5000000</v>
      </c>
      <c r="G88" s="188">
        <f t="shared" si="1"/>
        <v>500</v>
      </c>
    </row>
    <row r="89" spans="2:7" ht="14.25" x14ac:dyDescent="0.15">
      <c r="B89" s="162" t="s">
        <v>519</v>
      </c>
      <c r="C89" s="1">
        <v>5</v>
      </c>
      <c r="D89" s="1" t="s">
        <v>64</v>
      </c>
      <c r="E89" s="1">
        <v>2</v>
      </c>
      <c r="F89" s="163">
        <v>64575000.000000007</v>
      </c>
      <c r="G89" s="188">
        <f t="shared" si="1"/>
        <v>6457.5000000000009</v>
      </c>
    </row>
    <row r="90" spans="2:7" ht="14.25" x14ac:dyDescent="0.15">
      <c r="B90" s="162" t="s">
        <v>520</v>
      </c>
      <c r="C90" s="1">
        <v>6</v>
      </c>
      <c r="D90" s="1" t="s">
        <v>102</v>
      </c>
      <c r="E90" s="1">
        <v>3</v>
      </c>
      <c r="F90" s="163">
        <v>2000000</v>
      </c>
      <c r="G90" s="188">
        <f t="shared" si="1"/>
        <v>200</v>
      </c>
    </row>
    <row r="91" spans="2:7" ht="14.25" x14ac:dyDescent="0.15">
      <c r="B91" s="162" t="s">
        <v>521</v>
      </c>
      <c r="C91" s="1">
        <v>6</v>
      </c>
      <c r="D91" s="1" t="s">
        <v>66</v>
      </c>
      <c r="E91" s="1" t="s">
        <v>576</v>
      </c>
      <c r="F91" s="163">
        <v>60000000</v>
      </c>
      <c r="G91" s="188">
        <f t="shared" si="1"/>
        <v>6000</v>
      </c>
    </row>
    <row r="92" spans="2:7" ht="14.25" x14ac:dyDescent="0.15">
      <c r="B92" s="162" t="s">
        <v>522</v>
      </c>
      <c r="C92" s="1">
        <v>8</v>
      </c>
      <c r="D92" s="1" t="s">
        <v>4</v>
      </c>
      <c r="E92" s="1"/>
      <c r="F92" s="163">
        <v>61500000</v>
      </c>
      <c r="G92" s="188">
        <f t="shared" si="1"/>
        <v>6150</v>
      </c>
    </row>
    <row r="93" spans="2:7" ht="14.25" x14ac:dyDescent="0.15">
      <c r="B93" s="162" t="s">
        <v>523</v>
      </c>
      <c r="C93" s="1">
        <v>5</v>
      </c>
      <c r="D93" s="1" t="s">
        <v>103</v>
      </c>
      <c r="E93" s="1" t="s">
        <v>576</v>
      </c>
      <c r="F93" s="163">
        <v>146933000</v>
      </c>
      <c r="G93" s="188">
        <f t="shared" si="1"/>
        <v>14693.3</v>
      </c>
    </row>
    <row r="94" spans="2:7" ht="14.25" x14ac:dyDescent="0.15">
      <c r="B94" s="162" t="s">
        <v>524</v>
      </c>
      <c r="C94" s="1"/>
      <c r="D94" s="1" t="s">
        <v>66</v>
      </c>
      <c r="E94" s="1" t="s">
        <v>576</v>
      </c>
      <c r="F94" s="163">
        <v>64000000</v>
      </c>
      <c r="G94" s="188">
        <f t="shared" si="1"/>
        <v>6400</v>
      </c>
    </row>
    <row r="95" spans="2:7" ht="14.25" x14ac:dyDescent="0.15">
      <c r="B95" s="162" t="s">
        <v>525</v>
      </c>
      <c r="C95" s="1">
        <v>7</v>
      </c>
      <c r="D95" s="1" t="s">
        <v>70</v>
      </c>
      <c r="E95" s="1">
        <v>3</v>
      </c>
      <c r="F95" s="163">
        <v>273675000</v>
      </c>
      <c r="G95" s="188">
        <f t="shared" si="1"/>
        <v>27367.5</v>
      </c>
    </row>
    <row r="96" spans="2:7" ht="14.25" x14ac:dyDescent="0.15">
      <c r="B96" s="162" t="s">
        <v>526</v>
      </c>
      <c r="C96" s="1">
        <v>9</v>
      </c>
      <c r="D96" s="1" t="s">
        <v>104</v>
      </c>
      <c r="E96" s="1">
        <v>3</v>
      </c>
      <c r="F96" s="163">
        <v>3000000</v>
      </c>
      <c r="G96" s="188">
        <f t="shared" si="1"/>
        <v>300</v>
      </c>
    </row>
    <row r="97" spans="2:7" ht="14.25" x14ac:dyDescent="0.15">
      <c r="B97" s="162" t="s">
        <v>527</v>
      </c>
      <c r="C97" s="1">
        <v>1</v>
      </c>
      <c r="D97" s="1" t="s">
        <v>76</v>
      </c>
      <c r="E97" s="1">
        <v>2</v>
      </c>
      <c r="F97" s="163">
        <v>6000000</v>
      </c>
      <c r="G97" s="188">
        <f t="shared" si="1"/>
        <v>600</v>
      </c>
    </row>
    <row r="98" spans="2:7" ht="14.25" x14ac:dyDescent="0.15">
      <c r="B98" s="162" t="s">
        <v>528</v>
      </c>
      <c r="C98" s="1">
        <v>7</v>
      </c>
      <c r="D98" s="1" t="s">
        <v>83</v>
      </c>
      <c r="E98" s="1">
        <v>3</v>
      </c>
      <c r="F98" s="163">
        <v>61500000</v>
      </c>
      <c r="G98" s="188">
        <f t="shared" si="1"/>
        <v>6150</v>
      </c>
    </row>
    <row r="99" spans="2:7" ht="14.25" x14ac:dyDescent="0.15">
      <c r="B99" s="162" t="s">
        <v>529</v>
      </c>
      <c r="C99" s="1">
        <v>6</v>
      </c>
      <c r="D99" s="1" t="s">
        <v>71</v>
      </c>
      <c r="E99" s="1">
        <v>3</v>
      </c>
      <c r="F99" s="163">
        <v>12300000</v>
      </c>
      <c r="G99" s="188">
        <f t="shared" si="1"/>
        <v>1230</v>
      </c>
    </row>
    <row r="100" spans="2:7" ht="14.25" x14ac:dyDescent="0.15">
      <c r="B100" s="162" t="s">
        <v>530</v>
      </c>
      <c r="C100" s="1">
        <v>6</v>
      </c>
      <c r="D100" s="1" t="s">
        <v>105</v>
      </c>
      <c r="E100" s="1" t="s">
        <v>577</v>
      </c>
      <c r="F100" s="163">
        <v>79000684</v>
      </c>
      <c r="G100" s="188">
        <f t="shared" si="1"/>
        <v>7900.0684000000001</v>
      </c>
    </row>
    <row r="101" spans="2:7" ht="14.25" x14ac:dyDescent="0.15">
      <c r="B101" s="162" t="s">
        <v>531</v>
      </c>
      <c r="C101" s="1">
        <v>5</v>
      </c>
      <c r="D101" s="1" t="s">
        <v>106</v>
      </c>
      <c r="E101" s="1">
        <v>2</v>
      </c>
      <c r="F101" s="163">
        <v>5000000</v>
      </c>
      <c r="G101" s="188">
        <f t="shared" si="1"/>
        <v>500</v>
      </c>
    </row>
    <row r="102" spans="2:7" ht="14.25" x14ac:dyDescent="0.15">
      <c r="B102" s="162" t="s">
        <v>532</v>
      </c>
      <c r="C102" s="1">
        <v>6</v>
      </c>
      <c r="D102" s="1" t="s">
        <v>68</v>
      </c>
      <c r="E102" s="1">
        <v>3</v>
      </c>
      <c r="F102" s="163">
        <v>5000000</v>
      </c>
      <c r="G102" s="188">
        <f t="shared" si="1"/>
        <v>500</v>
      </c>
    </row>
    <row r="103" spans="2:7" ht="14.25" x14ac:dyDescent="0.15">
      <c r="B103" s="162" t="s">
        <v>533</v>
      </c>
      <c r="C103" s="1">
        <v>4</v>
      </c>
      <c r="D103" s="1" t="s">
        <v>64</v>
      </c>
      <c r="E103" s="1">
        <v>2</v>
      </c>
      <c r="F103" s="163">
        <v>15200000</v>
      </c>
      <c r="G103" s="188">
        <f t="shared" si="1"/>
        <v>1520</v>
      </c>
    </row>
    <row r="104" spans="2:7" ht="14.25" x14ac:dyDescent="0.15">
      <c r="B104" s="162" t="s">
        <v>534</v>
      </c>
      <c r="C104" s="1">
        <v>4</v>
      </c>
      <c r="D104" s="1" t="s">
        <v>75</v>
      </c>
      <c r="E104" s="1">
        <v>2</v>
      </c>
      <c r="F104" s="163">
        <v>5049358000</v>
      </c>
      <c r="G104" s="188">
        <f t="shared" si="1"/>
        <v>504935.8</v>
      </c>
    </row>
    <row r="105" spans="2:7" ht="14.25" x14ac:dyDescent="0.15">
      <c r="B105" s="162" t="s">
        <v>535</v>
      </c>
      <c r="C105" s="1"/>
      <c r="D105" s="1" t="s">
        <v>98</v>
      </c>
      <c r="E105" s="1" t="s">
        <v>576</v>
      </c>
      <c r="F105" s="163">
        <v>10000000</v>
      </c>
      <c r="G105" s="188">
        <f t="shared" si="1"/>
        <v>1000</v>
      </c>
    </row>
    <row r="106" spans="2:7" ht="14.25" x14ac:dyDescent="0.15">
      <c r="B106" s="162" t="s">
        <v>536</v>
      </c>
      <c r="C106" s="1">
        <v>6</v>
      </c>
      <c r="D106" s="1" t="s">
        <v>68</v>
      </c>
      <c r="E106" s="1">
        <v>3</v>
      </c>
      <c r="F106" s="163">
        <v>24280000</v>
      </c>
      <c r="G106" s="188">
        <f t="shared" si="1"/>
        <v>2428</v>
      </c>
    </row>
    <row r="107" spans="2:7" ht="14.25" x14ac:dyDescent="0.15">
      <c r="B107" s="162" t="s">
        <v>537</v>
      </c>
      <c r="C107" s="1">
        <v>7</v>
      </c>
      <c r="D107" s="1" t="s">
        <v>91</v>
      </c>
      <c r="E107" s="1">
        <v>3</v>
      </c>
      <c r="F107" s="163">
        <v>5000000</v>
      </c>
      <c r="G107" s="188">
        <f t="shared" si="1"/>
        <v>500</v>
      </c>
    </row>
    <row r="108" spans="2:7" ht="14.25" x14ac:dyDescent="0.15">
      <c r="B108" s="162" t="s">
        <v>538</v>
      </c>
      <c r="C108" s="1">
        <v>2</v>
      </c>
      <c r="D108" s="1" t="s">
        <v>84</v>
      </c>
      <c r="E108" s="1">
        <v>1</v>
      </c>
      <c r="F108" s="163">
        <v>20602500</v>
      </c>
      <c r="G108" s="188">
        <f t="shared" si="1"/>
        <v>2060.25</v>
      </c>
    </row>
    <row r="109" spans="2:7" ht="14.25" x14ac:dyDescent="0.15">
      <c r="B109" s="162" t="s">
        <v>539</v>
      </c>
      <c r="C109" s="1">
        <v>6</v>
      </c>
      <c r="D109" s="1" t="s">
        <v>71</v>
      </c>
      <c r="E109" s="1">
        <v>3</v>
      </c>
      <c r="F109" s="163">
        <v>55350000</v>
      </c>
      <c r="G109" s="188">
        <f t="shared" si="1"/>
        <v>5535</v>
      </c>
    </row>
    <row r="110" spans="2:7" ht="14.25" x14ac:dyDescent="0.15">
      <c r="B110" s="162" t="s">
        <v>540</v>
      </c>
      <c r="C110" s="1">
        <v>3</v>
      </c>
      <c r="D110" s="1" t="s">
        <v>75</v>
      </c>
      <c r="E110" s="1">
        <v>2</v>
      </c>
      <c r="F110" s="163">
        <v>383810000</v>
      </c>
      <c r="G110" s="188">
        <f t="shared" si="1"/>
        <v>38381</v>
      </c>
    </row>
    <row r="111" spans="2:7" ht="14.25" x14ac:dyDescent="0.15">
      <c r="B111" s="162" t="s">
        <v>541</v>
      </c>
      <c r="C111" s="1">
        <v>8</v>
      </c>
      <c r="D111" s="1" t="s">
        <v>103</v>
      </c>
      <c r="E111" s="1" t="s">
        <v>576</v>
      </c>
      <c r="F111" s="163">
        <v>216000000</v>
      </c>
      <c r="G111" s="188">
        <f t="shared" si="1"/>
        <v>21600</v>
      </c>
    </row>
    <row r="112" spans="2:7" ht="14.25" x14ac:dyDescent="0.15">
      <c r="B112" s="162" t="s">
        <v>542</v>
      </c>
      <c r="C112" s="1">
        <v>5</v>
      </c>
      <c r="D112" s="1" t="s">
        <v>66</v>
      </c>
      <c r="E112" s="1" t="s">
        <v>576</v>
      </c>
      <c r="F112" s="163">
        <v>61500000</v>
      </c>
      <c r="G112" s="188">
        <f t="shared" si="1"/>
        <v>6150</v>
      </c>
    </row>
    <row r="113" spans="2:7" ht="14.25" x14ac:dyDescent="0.15">
      <c r="B113" s="162" t="s">
        <v>543</v>
      </c>
      <c r="C113" s="1">
        <v>4</v>
      </c>
      <c r="D113" s="1" t="s">
        <v>98</v>
      </c>
      <c r="E113" s="1" t="s">
        <v>576</v>
      </c>
      <c r="F113" s="163">
        <v>5000000</v>
      </c>
      <c r="G113" s="188">
        <f t="shared" si="1"/>
        <v>500</v>
      </c>
    </row>
    <row r="114" spans="2:7" ht="14.25" x14ac:dyDescent="0.15">
      <c r="B114" s="162" t="s">
        <v>544</v>
      </c>
      <c r="C114" s="1">
        <v>7</v>
      </c>
      <c r="D114" s="1" t="s">
        <v>68</v>
      </c>
      <c r="E114" s="1">
        <v>3</v>
      </c>
      <c r="F114" s="163">
        <v>50000000</v>
      </c>
      <c r="G114" s="188">
        <f t="shared" si="1"/>
        <v>5000</v>
      </c>
    </row>
    <row r="115" spans="2:7" ht="14.25" x14ac:dyDescent="0.15">
      <c r="B115" s="162" t="s">
        <v>545</v>
      </c>
      <c r="C115" s="1">
        <v>8</v>
      </c>
      <c r="D115" s="1" t="s">
        <v>101</v>
      </c>
      <c r="E115" s="1" t="s">
        <v>576</v>
      </c>
      <c r="F115" s="163">
        <v>138091677827</v>
      </c>
      <c r="G115" s="188">
        <f t="shared" si="1"/>
        <v>13809167.7827</v>
      </c>
    </row>
    <row r="116" spans="2:7" ht="14.25" x14ac:dyDescent="0.15">
      <c r="B116" s="162" t="s">
        <v>546</v>
      </c>
      <c r="C116" s="1">
        <v>4</v>
      </c>
      <c r="D116" s="1" t="s">
        <v>103</v>
      </c>
      <c r="E116" s="1" t="s">
        <v>576</v>
      </c>
      <c r="F116" s="163">
        <v>120000000</v>
      </c>
      <c r="G116" s="188">
        <f t="shared" si="1"/>
        <v>12000</v>
      </c>
    </row>
    <row r="117" spans="2:7" ht="14.25" x14ac:dyDescent="0.15">
      <c r="B117" s="162" t="s">
        <v>547</v>
      </c>
      <c r="C117" s="1"/>
      <c r="D117" s="1" t="s">
        <v>107</v>
      </c>
      <c r="E117" s="1" t="s">
        <v>576</v>
      </c>
      <c r="F117" s="163">
        <v>100000000</v>
      </c>
      <c r="G117" s="188">
        <f t="shared" si="1"/>
        <v>10000</v>
      </c>
    </row>
    <row r="118" spans="2:7" ht="14.25" x14ac:dyDescent="0.15">
      <c r="B118" s="162" t="s">
        <v>548</v>
      </c>
      <c r="C118" s="1">
        <v>8</v>
      </c>
      <c r="D118" s="1" t="s">
        <v>108</v>
      </c>
      <c r="E118" s="1">
        <v>3</v>
      </c>
      <c r="F118" s="163">
        <v>990000</v>
      </c>
      <c r="G118" s="188">
        <f t="shared" si="1"/>
        <v>99</v>
      </c>
    </row>
    <row r="119" spans="2:7" ht="14.25" x14ac:dyDescent="0.15">
      <c r="B119" s="162" t="s">
        <v>549</v>
      </c>
      <c r="C119" s="1"/>
      <c r="D119" s="1" t="s">
        <v>74</v>
      </c>
      <c r="E119" s="1" t="s">
        <v>576</v>
      </c>
      <c r="F119" s="163">
        <v>5000000</v>
      </c>
      <c r="G119" s="188">
        <f t="shared" si="1"/>
        <v>500</v>
      </c>
    </row>
    <row r="120" spans="2:7" ht="14.25" x14ac:dyDescent="0.15">
      <c r="B120" s="162" t="s">
        <v>550</v>
      </c>
      <c r="C120" s="1">
        <v>10</v>
      </c>
      <c r="D120" s="1" t="s">
        <v>66</v>
      </c>
      <c r="E120" s="1" t="s">
        <v>576</v>
      </c>
      <c r="F120" s="163">
        <v>40000000</v>
      </c>
      <c r="G120" s="188">
        <f t="shared" si="1"/>
        <v>4000</v>
      </c>
    </row>
    <row r="121" spans="2:7" ht="14.25" x14ac:dyDescent="0.15">
      <c r="B121" s="162" t="s">
        <v>551</v>
      </c>
      <c r="C121" s="1">
        <v>5</v>
      </c>
      <c r="D121" s="1" t="s">
        <v>86</v>
      </c>
      <c r="E121" s="1">
        <v>2</v>
      </c>
      <c r="F121" s="163">
        <v>10000000000</v>
      </c>
      <c r="G121" s="188">
        <f t="shared" si="1"/>
        <v>1000000</v>
      </c>
    </row>
    <row r="122" spans="2:7" ht="14.25" x14ac:dyDescent="0.15">
      <c r="B122" s="162" t="s">
        <v>552</v>
      </c>
      <c r="C122" s="1">
        <v>8</v>
      </c>
      <c r="D122" s="1" t="s">
        <v>85</v>
      </c>
      <c r="E122" s="1" t="s">
        <v>576</v>
      </c>
      <c r="F122" s="163">
        <v>3000000</v>
      </c>
      <c r="G122" s="188">
        <f t="shared" si="1"/>
        <v>300</v>
      </c>
    </row>
    <row r="123" spans="2:7" ht="14.25" x14ac:dyDescent="0.15">
      <c r="B123" s="162" t="s">
        <v>553</v>
      </c>
      <c r="C123" s="1">
        <v>5</v>
      </c>
      <c r="D123" s="1" t="s">
        <v>67</v>
      </c>
      <c r="E123" s="1" t="s">
        <v>576</v>
      </c>
      <c r="F123" s="163">
        <v>500000</v>
      </c>
      <c r="G123" s="188">
        <f t="shared" si="1"/>
        <v>50</v>
      </c>
    </row>
    <row r="124" spans="2:7" ht="14.25" x14ac:dyDescent="0.15">
      <c r="B124" s="162" t="s">
        <v>554</v>
      </c>
      <c r="C124" s="1">
        <v>5</v>
      </c>
      <c r="D124" s="1" t="s">
        <v>64</v>
      </c>
      <c r="E124" s="1">
        <v>2</v>
      </c>
      <c r="F124" s="163">
        <v>461250000</v>
      </c>
      <c r="G124" s="188">
        <f t="shared" si="1"/>
        <v>46125</v>
      </c>
    </row>
    <row r="125" spans="2:7" ht="14.25" x14ac:dyDescent="0.15">
      <c r="B125" s="162" t="s">
        <v>555</v>
      </c>
      <c r="C125" s="1">
        <v>7</v>
      </c>
      <c r="D125" s="1" t="s">
        <v>77</v>
      </c>
      <c r="E125" s="1">
        <v>3</v>
      </c>
      <c r="F125" s="163">
        <v>500000</v>
      </c>
      <c r="G125" s="188">
        <f t="shared" si="1"/>
        <v>50</v>
      </c>
    </row>
    <row r="126" spans="2:7" ht="14.25" x14ac:dyDescent="0.15">
      <c r="B126" s="162" t="s">
        <v>556</v>
      </c>
      <c r="C126" s="1">
        <v>5</v>
      </c>
      <c r="D126" s="1" t="s">
        <v>96</v>
      </c>
      <c r="E126" s="1">
        <v>2</v>
      </c>
      <c r="F126" s="163">
        <v>5000000</v>
      </c>
      <c r="G126" s="188">
        <f t="shared" si="1"/>
        <v>500</v>
      </c>
    </row>
    <row r="127" spans="2:7" ht="14.25" x14ac:dyDescent="0.15">
      <c r="B127" s="162" t="s">
        <v>557</v>
      </c>
      <c r="C127" s="1">
        <v>6</v>
      </c>
      <c r="D127" s="1" t="s">
        <v>71</v>
      </c>
      <c r="E127" s="1">
        <v>3</v>
      </c>
      <c r="F127" s="163">
        <v>16359000.000000002</v>
      </c>
      <c r="G127" s="188">
        <f t="shared" si="1"/>
        <v>1635.9</v>
      </c>
    </row>
    <row r="128" spans="2:7" ht="14.25" x14ac:dyDescent="0.15">
      <c r="B128" s="162" t="s">
        <v>558</v>
      </c>
      <c r="C128" s="1">
        <v>1</v>
      </c>
      <c r="D128" s="1" t="s">
        <v>109</v>
      </c>
      <c r="E128" s="1">
        <v>1</v>
      </c>
      <c r="F128" s="163">
        <v>61500000</v>
      </c>
      <c r="G128" s="188">
        <f t="shared" si="1"/>
        <v>6150</v>
      </c>
    </row>
  </sheetData>
  <phoneticPr fontId="5" type="noConversion"/>
  <dataValidations count="1">
    <dataValidation allowBlank="1" showInputMessage="1" sqref="H1:H104857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Cal_Risk_Score">
                <anchor moveWithCells="1">
                  <from>
                    <xdr:col>7</xdr:col>
                    <xdr:colOff>123825</xdr:colOff>
                    <xdr:row>0</xdr:row>
                    <xdr:rowOff>133350</xdr:rowOff>
                  </from>
                  <to>
                    <xdr:col>7</xdr:col>
                    <xdr:colOff>1390650</xdr:colOff>
                    <xdr:row>0</xdr:row>
                    <xdr:rowOff>504825</xdr:rowOff>
                  </to>
                </anchor>
              </controlPr>
            </control>
          </mc:Choice>
        </mc:AlternateContent>
        <mc:AlternateContent xmlns:mc="http://schemas.openxmlformats.org/markup-compatibility/2006">
          <mc:Choice Requires="x14">
            <control shapeId="7286" r:id="rId4" name="Button 118">
              <controlPr defaultSize="0" print="0" autoFill="0" autoPict="0" macro="[0]!Load_Leasing_Data">
                <anchor moveWithCells="1">
                  <from>
                    <xdr:col>6</xdr:col>
                    <xdr:colOff>76200</xdr:colOff>
                    <xdr:row>0</xdr:row>
                    <xdr:rowOff>123825</xdr:rowOff>
                  </from>
                  <to>
                    <xdr:col>6</xdr:col>
                    <xdr:colOff>1343025</xdr:colOff>
                    <xdr:row>0</xdr:row>
                    <xdr:rowOff>504825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Criteria!$C$4:$C$9</xm:f>
          </x14:formula1>
          <xm:sqref>I3:I1048576</xm:sqref>
        </x14:dataValidation>
        <x14:dataValidation type="list" allowBlank="1" showInputMessage="1" showErrorMessage="1">
          <x14:formula1>
            <xm:f>Criteria!$C$46:$C$48</xm:f>
          </x14:formula1>
          <xm:sqref>J3:J1048576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P95"/>
  <sheetViews>
    <sheetView view="pageBreakPreview" zoomScaleNormal="70" zoomScaleSheetLayoutView="100" workbookViewId="0">
      <selection activeCell="B39" sqref="B39:C39"/>
    </sheetView>
  </sheetViews>
  <sheetFormatPr defaultRowHeight="15" x14ac:dyDescent="0.15"/>
  <cols>
    <col min="1" max="1" width="34.75" style="64" bestFit="1" customWidth="1"/>
    <col min="2" max="2" width="35.75" style="64" customWidth="1"/>
    <col min="3" max="4" width="35.75" style="63" customWidth="1"/>
    <col min="5" max="5" width="40.75" style="63" bestFit="1" customWidth="1"/>
    <col min="6" max="6" width="35.75" style="65" customWidth="1"/>
    <col min="7" max="8" width="35.75" style="63" customWidth="1"/>
    <col min="9" max="9" width="45.75" style="64" bestFit="1" customWidth="1"/>
    <col min="10" max="10" width="35.75" style="63" customWidth="1"/>
    <col min="11" max="16384" width="9" style="62"/>
  </cols>
  <sheetData>
    <row r="1" spans="1:11" ht="18" x14ac:dyDescent="0.15">
      <c r="A1" s="263" t="s">
        <v>267</v>
      </c>
      <c r="B1" s="263"/>
      <c r="I1" s="62"/>
    </row>
    <row r="2" spans="1:11" ht="28.5" customHeight="1" thickBot="1" x14ac:dyDescent="0.2">
      <c r="A2" s="124"/>
      <c r="B2" s="124"/>
      <c r="C2" s="124"/>
      <c r="D2" s="124"/>
      <c r="E2" s="124"/>
      <c r="F2" s="125"/>
      <c r="G2" s="124"/>
      <c r="H2" s="124"/>
      <c r="I2" s="124"/>
      <c r="J2" s="124"/>
    </row>
    <row r="3" spans="1:11" ht="21.6" customHeight="1" thickBot="1" x14ac:dyDescent="0.2">
      <c r="A3" s="123" t="s">
        <v>266</v>
      </c>
      <c r="B3" s="264" t="s">
        <v>265</v>
      </c>
      <c r="C3" s="265"/>
      <c r="D3" s="121"/>
      <c r="E3" s="121"/>
      <c r="F3" s="122"/>
      <c r="G3" s="121"/>
      <c r="H3" s="121"/>
      <c r="I3" s="264" t="s">
        <v>264</v>
      </c>
      <c r="J3" s="265"/>
    </row>
    <row r="4" spans="1:11" ht="15.75" customHeight="1" x14ac:dyDescent="0.15">
      <c r="A4" s="266" t="s">
        <v>263</v>
      </c>
      <c r="B4" s="269" t="s">
        <v>228</v>
      </c>
      <c r="C4" s="270"/>
      <c r="D4" s="119"/>
      <c r="E4" s="119"/>
      <c r="F4" s="120"/>
      <c r="G4" s="119"/>
      <c r="H4" s="119"/>
      <c r="I4" s="118" t="s">
        <v>262</v>
      </c>
      <c r="J4" s="117" t="s">
        <v>261</v>
      </c>
      <c r="K4" s="116" t="s">
        <v>260</v>
      </c>
    </row>
    <row r="5" spans="1:11" s="94" customFormat="1" x14ac:dyDescent="0.15">
      <c r="A5" s="267"/>
      <c r="B5" s="271" t="s">
        <v>259</v>
      </c>
      <c r="C5" s="272"/>
      <c r="D5" s="71"/>
      <c r="E5" s="71"/>
      <c r="F5" s="87"/>
      <c r="G5" s="71"/>
      <c r="H5" s="71"/>
      <c r="I5" s="115" t="s">
        <v>258</v>
      </c>
      <c r="J5" s="114" t="s">
        <v>257</v>
      </c>
    </row>
    <row r="6" spans="1:11" s="94" customFormat="1" x14ac:dyDescent="0.15">
      <c r="A6" s="267"/>
      <c r="B6" s="271"/>
      <c r="C6" s="272"/>
      <c r="D6" s="71"/>
      <c r="E6" s="71"/>
      <c r="F6" s="87"/>
      <c r="G6" s="71"/>
      <c r="H6" s="71"/>
      <c r="I6" s="115" t="s">
        <v>256</v>
      </c>
      <c r="J6" s="114" t="s">
        <v>255</v>
      </c>
    </row>
    <row r="7" spans="1:11" s="94" customFormat="1" ht="45.75" thickBot="1" x14ac:dyDescent="0.2">
      <c r="A7" s="267"/>
      <c r="B7" s="109"/>
      <c r="C7" s="92"/>
      <c r="D7" s="71"/>
      <c r="E7" s="71"/>
      <c r="F7" s="87"/>
      <c r="G7" s="71"/>
      <c r="H7" s="71"/>
      <c r="I7" s="113" t="s">
        <v>254</v>
      </c>
      <c r="J7" s="112" t="s">
        <v>253</v>
      </c>
    </row>
    <row r="8" spans="1:11" s="94" customFormat="1" ht="60" x14ac:dyDescent="0.15">
      <c r="A8" s="267"/>
      <c r="B8" s="109"/>
      <c r="C8" s="92"/>
      <c r="D8" s="71"/>
      <c r="E8" s="71"/>
      <c r="F8" s="87"/>
      <c r="G8" s="71"/>
      <c r="H8" s="71"/>
      <c r="I8" s="111" t="s">
        <v>252</v>
      </c>
      <c r="J8" s="92" t="s">
        <v>251</v>
      </c>
    </row>
    <row r="9" spans="1:11" s="94" customFormat="1" ht="30" x14ac:dyDescent="0.15">
      <c r="A9" s="267"/>
      <c r="B9" s="109"/>
      <c r="C9" s="92"/>
      <c r="D9" s="71"/>
      <c r="E9" s="71"/>
      <c r="F9" s="87"/>
      <c r="G9" s="71"/>
      <c r="H9" s="71"/>
      <c r="I9" s="108" t="s">
        <v>250</v>
      </c>
      <c r="J9" s="92" t="s">
        <v>249</v>
      </c>
    </row>
    <row r="10" spans="1:11" s="94" customFormat="1" ht="30" x14ac:dyDescent="0.15">
      <c r="A10" s="267"/>
      <c r="B10" s="109"/>
      <c r="C10" s="92"/>
      <c r="D10" s="71"/>
      <c r="E10" s="71"/>
      <c r="F10" s="87"/>
      <c r="G10" s="71"/>
      <c r="H10" s="71"/>
      <c r="I10" s="108" t="s">
        <v>248</v>
      </c>
      <c r="J10" s="92" t="s">
        <v>247</v>
      </c>
    </row>
    <row r="11" spans="1:11" s="94" customFormat="1" ht="45" x14ac:dyDescent="0.15">
      <c r="A11" s="267"/>
      <c r="B11" s="109"/>
      <c r="C11" s="92"/>
      <c r="D11" s="71"/>
      <c r="E11" s="71"/>
      <c r="F11" s="87"/>
      <c r="G11" s="71"/>
      <c r="H11" s="71"/>
      <c r="I11" s="110" t="s">
        <v>246</v>
      </c>
      <c r="J11" s="71" t="s">
        <v>245</v>
      </c>
    </row>
    <row r="12" spans="1:11" s="94" customFormat="1" ht="30" x14ac:dyDescent="0.15">
      <c r="A12" s="267"/>
      <c r="B12" s="109"/>
      <c r="C12" s="92"/>
      <c r="D12" s="71"/>
      <c r="E12" s="71"/>
      <c r="F12" s="87"/>
      <c r="G12" s="71"/>
      <c r="H12" s="71"/>
      <c r="I12" s="108" t="s">
        <v>244</v>
      </c>
      <c r="J12" s="71" t="s">
        <v>243</v>
      </c>
    </row>
    <row r="13" spans="1:11" s="94" customFormat="1" ht="30" x14ac:dyDescent="0.15">
      <c r="A13" s="267"/>
      <c r="B13" s="109"/>
      <c r="C13" s="92"/>
      <c r="D13" s="71"/>
      <c r="E13" s="71"/>
      <c r="F13" s="87"/>
      <c r="G13" s="71"/>
      <c r="H13" s="71"/>
      <c r="I13" s="108" t="s">
        <v>242</v>
      </c>
      <c r="J13" s="71" t="s">
        <v>241</v>
      </c>
    </row>
    <row r="14" spans="1:11" s="94" customFormat="1" x14ac:dyDescent="0.15">
      <c r="A14" s="267"/>
      <c r="B14" s="109"/>
      <c r="C14" s="92"/>
      <c r="D14" s="71"/>
      <c r="E14" s="71"/>
      <c r="F14" s="87"/>
      <c r="G14" s="71"/>
      <c r="H14" s="71"/>
      <c r="I14" s="108" t="s">
        <v>240</v>
      </c>
      <c r="J14" s="71"/>
    </row>
    <row r="15" spans="1:11" s="94" customFormat="1" x14ac:dyDescent="0.15">
      <c r="A15" s="267"/>
      <c r="B15" s="109"/>
      <c r="C15" s="92"/>
      <c r="D15" s="71"/>
      <c r="E15" s="71"/>
      <c r="F15" s="87"/>
      <c r="G15" s="71"/>
      <c r="H15" s="71"/>
      <c r="I15" s="108" t="s">
        <v>239</v>
      </c>
      <c r="J15" s="71"/>
    </row>
    <row r="16" spans="1:11" s="94" customFormat="1" x14ac:dyDescent="0.15">
      <c r="A16" s="267"/>
      <c r="B16" s="109"/>
      <c r="C16" s="92"/>
      <c r="D16" s="71"/>
      <c r="E16" s="71"/>
      <c r="F16" s="87"/>
      <c r="G16" s="71"/>
      <c r="H16" s="71"/>
      <c r="I16" s="108" t="s">
        <v>238</v>
      </c>
      <c r="J16" s="71"/>
    </row>
    <row r="17" spans="1:16" s="94" customFormat="1" x14ac:dyDescent="0.15">
      <c r="A17" s="267"/>
      <c r="B17" s="109"/>
      <c r="C17" s="92"/>
      <c r="D17" s="71"/>
      <c r="E17" s="71"/>
      <c r="F17" s="87"/>
      <c r="G17" s="71"/>
      <c r="H17" s="71"/>
      <c r="I17" s="108" t="s">
        <v>237</v>
      </c>
      <c r="J17" s="71"/>
    </row>
    <row r="18" spans="1:16" s="94" customFormat="1" x14ac:dyDescent="0.15">
      <c r="A18" s="267"/>
      <c r="B18" s="109"/>
      <c r="C18" s="92"/>
      <c r="D18" s="71"/>
      <c r="E18" s="71"/>
      <c r="F18" s="87"/>
      <c r="G18" s="71"/>
      <c r="H18" s="71"/>
      <c r="I18" s="108" t="s">
        <v>236</v>
      </c>
      <c r="J18" s="71"/>
    </row>
    <row r="19" spans="1:16" s="94" customFormat="1" x14ac:dyDescent="0.15">
      <c r="A19" s="267"/>
      <c r="B19" s="109"/>
      <c r="C19" s="92"/>
      <c r="D19" s="71"/>
      <c r="E19" s="71"/>
      <c r="F19" s="87"/>
      <c r="G19" s="71"/>
      <c r="H19" s="71"/>
      <c r="I19" s="108" t="s">
        <v>235</v>
      </c>
      <c r="J19" s="71"/>
    </row>
    <row r="20" spans="1:16" s="94" customFormat="1" x14ac:dyDescent="0.15">
      <c r="A20" s="267"/>
      <c r="B20" s="109"/>
      <c r="C20" s="92"/>
      <c r="D20" s="71"/>
      <c r="E20" s="71"/>
      <c r="F20" s="87"/>
      <c r="G20" s="71"/>
      <c r="H20" s="71"/>
      <c r="I20" s="108" t="s">
        <v>234</v>
      </c>
      <c r="J20" s="71"/>
    </row>
    <row r="21" spans="1:16" s="94" customFormat="1" ht="30" x14ac:dyDescent="0.15">
      <c r="A21" s="267"/>
      <c r="B21" s="109"/>
      <c r="C21" s="92"/>
      <c r="D21" s="71"/>
      <c r="E21" s="71"/>
      <c r="F21" s="87"/>
      <c r="G21" s="71"/>
      <c r="H21" s="71"/>
      <c r="I21" s="108" t="s">
        <v>233</v>
      </c>
      <c r="J21" s="71"/>
    </row>
    <row r="22" spans="1:16" s="94" customFormat="1" x14ac:dyDescent="0.15">
      <c r="A22" s="267"/>
      <c r="B22" s="109"/>
      <c r="C22" s="92"/>
      <c r="D22" s="71"/>
      <c r="E22" s="71"/>
      <c r="F22" s="87"/>
      <c r="G22" s="71"/>
      <c r="H22" s="71"/>
      <c r="I22" s="108" t="s">
        <v>232</v>
      </c>
      <c r="J22" s="71"/>
    </row>
    <row r="23" spans="1:16" s="94" customFormat="1" x14ac:dyDescent="0.15">
      <c r="A23" s="267"/>
      <c r="B23" s="109"/>
      <c r="C23" s="92"/>
      <c r="D23" s="71"/>
      <c r="E23" s="71"/>
      <c r="F23" s="87"/>
      <c r="G23" s="71"/>
      <c r="H23" s="71"/>
      <c r="I23" s="108" t="s">
        <v>231</v>
      </c>
      <c r="J23" s="71"/>
    </row>
    <row r="24" spans="1:16" s="94" customFormat="1" x14ac:dyDescent="0.15">
      <c r="A24" s="267"/>
      <c r="B24" s="109"/>
      <c r="C24" s="92"/>
      <c r="D24" s="71"/>
      <c r="E24" s="71"/>
      <c r="F24" s="87"/>
      <c r="G24" s="71"/>
      <c r="H24" s="71"/>
      <c r="I24" s="110"/>
      <c r="J24" s="71"/>
    </row>
    <row r="25" spans="1:16" s="94" customFormat="1" x14ac:dyDescent="0.15">
      <c r="A25" s="267"/>
      <c r="B25" s="109"/>
      <c r="C25" s="92"/>
      <c r="D25" s="71"/>
      <c r="E25" s="71"/>
      <c r="F25" s="87"/>
      <c r="G25" s="71"/>
      <c r="H25" s="71"/>
      <c r="I25" s="108"/>
      <c r="J25" s="71"/>
    </row>
    <row r="26" spans="1:16" s="94" customFormat="1" ht="15.75" customHeight="1" thickBot="1" x14ac:dyDescent="0.2">
      <c r="A26" s="268"/>
      <c r="B26" s="273"/>
      <c r="C26" s="274"/>
      <c r="D26" s="71"/>
      <c r="E26" s="71"/>
      <c r="F26" s="87"/>
      <c r="G26" s="71"/>
      <c r="H26" s="71"/>
      <c r="I26" s="108"/>
      <c r="L26" s="94" t="s">
        <v>230</v>
      </c>
    </row>
    <row r="27" spans="1:16" s="94" customFormat="1" ht="15" customHeight="1" x14ac:dyDescent="0.15">
      <c r="A27" s="275" t="s">
        <v>229</v>
      </c>
      <c r="B27" s="269" t="s">
        <v>228</v>
      </c>
      <c r="C27" s="270"/>
      <c r="D27" s="96"/>
      <c r="E27" s="96" t="s">
        <v>227</v>
      </c>
      <c r="F27" s="102" t="s">
        <v>226</v>
      </c>
      <c r="G27" s="96"/>
      <c r="H27" s="96"/>
      <c r="I27" s="71" t="s">
        <v>225</v>
      </c>
      <c r="J27" s="100"/>
      <c r="K27" s="101" t="s">
        <v>224</v>
      </c>
    </row>
    <row r="28" spans="1:16" s="94" customFormat="1" ht="30" x14ac:dyDescent="0.15">
      <c r="A28" s="276"/>
      <c r="B28" s="277" t="s">
        <v>223</v>
      </c>
      <c r="C28" s="272"/>
      <c r="D28" s="71"/>
      <c r="E28" s="107">
        <v>5</v>
      </c>
      <c r="F28" s="105">
        <f>LOOKUP(E28,G28:G34,I28:I34)</f>
        <v>4</v>
      </c>
      <c r="G28" s="105">
        <v>1</v>
      </c>
      <c r="H28" s="71" t="s">
        <v>222</v>
      </c>
      <c r="I28" s="106">
        <v>10</v>
      </c>
      <c r="J28" s="92"/>
    </row>
    <row r="29" spans="1:16" s="94" customFormat="1" ht="30" x14ac:dyDescent="0.15">
      <c r="A29" s="276"/>
      <c r="B29" s="277" t="s">
        <v>221</v>
      </c>
      <c r="C29" s="272"/>
      <c r="D29" s="71"/>
      <c r="E29" s="71"/>
      <c r="F29" s="105"/>
      <c r="G29" s="105">
        <v>2</v>
      </c>
      <c r="H29" s="71" t="s">
        <v>220</v>
      </c>
      <c r="I29" s="94">
        <v>8</v>
      </c>
      <c r="J29" s="92"/>
      <c r="L29" s="101" t="s">
        <v>219</v>
      </c>
      <c r="O29" s="94">
        <v>6.5</v>
      </c>
      <c r="P29" s="94">
        <v>0.5</v>
      </c>
    </row>
    <row r="30" spans="1:16" s="94" customFormat="1" ht="30" x14ac:dyDescent="0.15">
      <c r="A30" s="276"/>
      <c r="B30" s="277" t="s">
        <v>218</v>
      </c>
      <c r="C30" s="272"/>
      <c r="D30" s="71"/>
      <c r="E30" s="71"/>
      <c r="F30" s="105"/>
      <c r="G30" s="105">
        <v>3</v>
      </c>
      <c r="H30" s="71" t="s">
        <v>217</v>
      </c>
      <c r="I30" s="106">
        <v>6</v>
      </c>
      <c r="J30" s="92"/>
      <c r="L30" s="101"/>
    </row>
    <row r="31" spans="1:16" s="94" customFormat="1" ht="30" x14ac:dyDescent="0.15">
      <c r="A31" s="276"/>
      <c r="B31" s="277" t="s">
        <v>216</v>
      </c>
      <c r="C31" s="272"/>
      <c r="D31" s="71"/>
      <c r="E31" s="71"/>
      <c r="F31" s="105"/>
      <c r="G31" s="105">
        <v>4</v>
      </c>
      <c r="H31" s="71" t="s">
        <v>215</v>
      </c>
      <c r="I31" s="106">
        <v>5</v>
      </c>
      <c r="J31" s="92"/>
      <c r="O31" s="94">
        <v>15</v>
      </c>
    </row>
    <row r="32" spans="1:16" s="94" customFormat="1" ht="30" x14ac:dyDescent="0.15">
      <c r="A32" s="104"/>
      <c r="B32" s="73"/>
      <c r="C32" s="92"/>
      <c r="D32" s="71"/>
      <c r="E32" s="71"/>
      <c r="F32" s="105"/>
      <c r="G32" s="105">
        <v>5</v>
      </c>
      <c r="H32" s="71" t="s">
        <v>214</v>
      </c>
      <c r="I32" s="94">
        <v>4</v>
      </c>
      <c r="J32" s="92"/>
    </row>
    <row r="33" spans="1:11" s="94" customFormat="1" ht="30" x14ac:dyDescent="0.15">
      <c r="A33" s="104"/>
      <c r="B33" s="73"/>
      <c r="C33" s="92"/>
      <c r="D33" s="71"/>
      <c r="E33" s="71"/>
      <c r="F33" s="105"/>
      <c r="G33" s="105">
        <v>6</v>
      </c>
      <c r="H33" s="71" t="s">
        <v>213</v>
      </c>
      <c r="I33" s="106">
        <v>2</v>
      </c>
      <c r="J33" s="92"/>
    </row>
    <row r="34" spans="1:11" s="94" customFormat="1" ht="30" x14ac:dyDescent="0.15">
      <c r="A34" s="104"/>
      <c r="B34" s="73"/>
      <c r="C34" s="92"/>
      <c r="D34" s="87"/>
      <c r="E34" s="71"/>
      <c r="F34" s="105"/>
      <c r="G34" s="105">
        <v>7</v>
      </c>
      <c r="H34" s="71" t="s">
        <v>212</v>
      </c>
      <c r="I34" s="94">
        <v>0</v>
      </c>
      <c r="J34" s="92"/>
    </row>
    <row r="35" spans="1:11" s="94" customFormat="1" ht="15.75" x14ac:dyDescent="0.15">
      <c r="A35" s="104"/>
      <c r="B35" s="73"/>
      <c r="C35" s="92"/>
      <c r="D35" s="87"/>
      <c r="E35" s="94" t="s">
        <v>211</v>
      </c>
      <c r="F35" s="87" t="s">
        <v>210</v>
      </c>
      <c r="G35" s="71"/>
      <c r="H35" s="71"/>
      <c r="I35" s="71"/>
      <c r="J35" s="92"/>
    </row>
    <row r="36" spans="1:11" s="94" customFormat="1" ht="15.75" x14ac:dyDescent="0.15">
      <c r="A36" s="104"/>
      <c r="B36" s="73"/>
      <c r="C36" s="92"/>
      <c r="D36" s="87"/>
      <c r="E36" s="71"/>
      <c r="F36" s="87"/>
      <c r="G36" s="71"/>
      <c r="H36" s="71"/>
      <c r="I36" s="71"/>
      <c r="J36" s="92"/>
    </row>
    <row r="37" spans="1:11" s="94" customFormat="1" ht="16.5" thickBot="1" x14ac:dyDescent="0.2">
      <c r="A37" s="104"/>
      <c r="B37" s="73"/>
      <c r="C37" s="92"/>
      <c r="D37" s="87"/>
      <c r="E37" s="103" t="s">
        <v>209</v>
      </c>
      <c r="F37" s="102" t="s">
        <v>208</v>
      </c>
      <c r="G37" s="71"/>
      <c r="H37" s="71"/>
      <c r="I37" s="71"/>
      <c r="J37" s="92"/>
    </row>
    <row r="38" spans="1:11" s="94" customFormat="1" ht="16.5" customHeight="1" x14ac:dyDescent="0.15">
      <c r="A38" s="275" t="s">
        <v>207</v>
      </c>
      <c r="B38" s="269" t="s">
        <v>206</v>
      </c>
      <c r="C38" s="270"/>
      <c r="D38" s="102"/>
      <c r="E38" s="94" t="s">
        <v>205</v>
      </c>
      <c r="F38" s="87" t="str">
        <f>LOOKUP(E38,E39:E47,F39:F47)</f>
        <v>9</v>
      </c>
      <c r="G38" s="96"/>
      <c r="H38" s="96"/>
      <c r="I38" s="71"/>
      <c r="J38" s="100"/>
      <c r="K38" s="101" t="s">
        <v>204</v>
      </c>
    </row>
    <row r="39" spans="1:11" s="94" customFormat="1" ht="37.5" customHeight="1" x14ac:dyDescent="0.15">
      <c r="A39" s="276"/>
      <c r="B39" s="277" t="s">
        <v>203</v>
      </c>
      <c r="C39" s="272"/>
      <c r="D39" s="87" t="str">
        <f>LOOKUP(E38,E39:E47,F39:F47)</f>
        <v>9</v>
      </c>
      <c r="E39" s="71" t="s">
        <v>202</v>
      </c>
      <c r="F39" s="97">
        <v>10</v>
      </c>
      <c r="G39" s="71"/>
      <c r="H39" s="71"/>
      <c r="I39" s="71"/>
      <c r="J39" s="92"/>
    </row>
    <row r="40" spans="1:11" s="94" customFormat="1" ht="37.5" customHeight="1" x14ac:dyDescent="0.15">
      <c r="A40" s="276"/>
      <c r="B40" s="73"/>
      <c r="C40" s="92"/>
      <c r="D40" s="87"/>
      <c r="E40" s="71" t="s">
        <v>201</v>
      </c>
      <c r="F40" s="97" t="s">
        <v>165</v>
      </c>
      <c r="G40" s="71"/>
      <c r="H40" s="71"/>
      <c r="I40" s="71"/>
      <c r="J40" s="92"/>
    </row>
    <row r="41" spans="1:11" s="94" customFormat="1" ht="65.25" customHeight="1" x14ac:dyDescent="0.15">
      <c r="A41" s="276"/>
      <c r="B41" s="277" t="s">
        <v>200</v>
      </c>
      <c r="C41" s="272"/>
      <c r="D41" s="87"/>
      <c r="E41" s="71" t="s">
        <v>199</v>
      </c>
      <c r="F41" s="97" t="s">
        <v>198</v>
      </c>
      <c r="G41" s="71"/>
      <c r="H41" s="71"/>
      <c r="I41" s="71"/>
      <c r="J41" s="92"/>
    </row>
    <row r="42" spans="1:11" s="94" customFormat="1" ht="65.25" customHeight="1" x14ac:dyDescent="0.15">
      <c r="A42" s="276"/>
      <c r="B42" s="73"/>
      <c r="C42" s="92"/>
      <c r="D42" s="87"/>
      <c r="E42" s="71" t="s">
        <v>197</v>
      </c>
      <c r="F42" s="97" t="s">
        <v>196</v>
      </c>
      <c r="G42" s="71"/>
      <c r="H42" s="71"/>
      <c r="I42" s="71"/>
      <c r="J42" s="92"/>
    </row>
    <row r="43" spans="1:11" s="94" customFormat="1" ht="65.25" customHeight="1" x14ac:dyDescent="0.15">
      <c r="A43" s="276"/>
      <c r="B43" s="73"/>
      <c r="C43" s="92"/>
      <c r="D43" s="87"/>
      <c r="E43" s="71" t="s">
        <v>195</v>
      </c>
      <c r="F43" s="97" t="s">
        <v>194</v>
      </c>
      <c r="G43" s="71"/>
      <c r="H43" s="71"/>
      <c r="I43" s="71"/>
      <c r="J43" s="92"/>
    </row>
    <row r="44" spans="1:11" s="94" customFormat="1" ht="39.75" customHeight="1" x14ac:dyDescent="0.15">
      <c r="A44" s="276"/>
      <c r="B44" s="277" t="s">
        <v>193</v>
      </c>
      <c r="C44" s="272"/>
      <c r="D44" s="87"/>
      <c r="E44" s="71" t="s">
        <v>192</v>
      </c>
      <c r="F44" s="97" t="s">
        <v>191</v>
      </c>
      <c r="G44" s="71"/>
      <c r="H44" s="71"/>
      <c r="I44" s="71"/>
      <c r="J44" s="92"/>
    </row>
    <row r="45" spans="1:11" s="94" customFormat="1" ht="39.75" customHeight="1" x14ac:dyDescent="0.15">
      <c r="A45" s="276"/>
      <c r="B45" s="73"/>
      <c r="C45" s="92"/>
      <c r="D45" s="87"/>
      <c r="E45" s="71" t="s">
        <v>190</v>
      </c>
      <c r="F45" s="97" t="s">
        <v>189</v>
      </c>
      <c r="G45" s="71"/>
      <c r="H45" s="71"/>
      <c r="I45" s="71"/>
      <c r="J45" s="92"/>
    </row>
    <row r="46" spans="1:11" s="94" customFormat="1" ht="63.75" customHeight="1" thickBot="1" x14ac:dyDescent="0.2">
      <c r="A46" s="276"/>
      <c r="B46" s="277" t="s">
        <v>188</v>
      </c>
      <c r="C46" s="272"/>
      <c r="D46" s="87"/>
      <c r="E46" s="71" t="s">
        <v>187</v>
      </c>
      <c r="F46" s="97" t="s">
        <v>186</v>
      </c>
      <c r="G46" s="71"/>
      <c r="H46" s="71"/>
      <c r="J46" s="92"/>
    </row>
    <row r="47" spans="1:11" s="94" customFormat="1" ht="15" customHeight="1" thickBot="1" x14ac:dyDescent="0.2">
      <c r="A47" s="276"/>
      <c r="B47" s="277" t="s">
        <v>185</v>
      </c>
      <c r="C47" s="272"/>
      <c r="D47" s="71"/>
      <c r="E47" s="71" t="s">
        <v>184</v>
      </c>
      <c r="F47" s="97" t="s">
        <v>183</v>
      </c>
      <c r="G47" s="71"/>
      <c r="H47" s="71"/>
      <c r="I47" s="80"/>
      <c r="J47" s="92"/>
    </row>
    <row r="48" spans="1:11" s="94" customFormat="1" ht="15.75" customHeight="1" x14ac:dyDescent="0.15">
      <c r="A48" s="275" t="s">
        <v>182</v>
      </c>
      <c r="B48" s="269" t="s">
        <v>181</v>
      </c>
      <c r="C48" s="270"/>
      <c r="D48" s="96"/>
      <c r="E48" s="71"/>
      <c r="F48" s="97"/>
      <c r="G48" s="96"/>
      <c r="H48" s="96"/>
      <c r="I48" s="73"/>
      <c r="J48" s="100"/>
    </row>
    <row r="49" spans="1:10" s="94" customFormat="1" ht="15.75" customHeight="1" x14ac:dyDescent="0.15">
      <c r="A49" s="276"/>
      <c r="B49" s="99">
        <v>0.67</v>
      </c>
      <c r="C49" s="98">
        <f>IF((B49&gt;=85%),10,IF(AND(B49&gt;=80%,B49&lt;85%),8,IF(AND(B49&gt;=75%,B49&lt;80),6,IF(AND(B49&gt;=65%,B49&lt;75%),4,IF(AND(B49&gt;=50%,B49&lt;65%),2,IF(AND(B49&gt;0,B49&lt;60%),0,"error"))))))</f>
        <v>4</v>
      </c>
      <c r="D49" s="96"/>
      <c r="E49" s="71"/>
      <c r="F49" s="97"/>
      <c r="G49" s="96"/>
      <c r="H49" s="96"/>
      <c r="I49" s="73"/>
      <c r="J49" s="95"/>
    </row>
    <row r="50" spans="1:10" s="94" customFormat="1" ht="15" customHeight="1" x14ac:dyDescent="0.15">
      <c r="A50" s="276"/>
      <c r="B50" s="89" t="s">
        <v>180</v>
      </c>
      <c r="C50" s="93">
        <v>0</v>
      </c>
      <c r="D50" s="71"/>
      <c r="E50" s="71"/>
      <c r="F50" s="87"/>
      <c r="G50" s="71"/>
      <c r="H50" s="71"/>
      <c r="I50" s="73"/>
      <c r="J50" s="92"/>
    </row>
    <row r="51" spans="1:10" ht="15" customHeight="1" x14ac:dyDescent="0.15">
      <c r="A51" s="276"/>
      <c r="B51" s="89" t="s">
        <v>179</v>
      </c>
      <c r="C51" s="93">
        <v>2</v>
      </c>
      <c r="D51" s="71"/>
      <c r="E51" s="71"/>
      <c r="F51" s="87"/>
      <c r="G51" s="71"/>
      <c r="H51" s="71"/>
      <c r="I51" s="73"/>
      <c r="J51" s="92"/>
    </row>
    <row r="52" spans="1:10" ht="15" customHeight="1" x14ac:dyDescent="0.15">
      <c r="A52" s="276"/>
      <c r="B52" s="89" t="s">
        <v>178</v>
      </c>
      <c r="C52" s="93">
        <v>4</v>
      </c>
      <c r="D52" s="71"/>
      <c r="E52" s="71" t="s">
        <v>177</v>
      </c>
      <c r="F52" s="87" t="s">
        <v>172</v>
      </c>
      <c r="G52" s="71"/>
      <c r="H52" s="71"/>
      <c r="I52" s="73"/>
      <c r="J52" s="92"/>
    </row>
    <row r="53" spans="1:10" ht="15" customHeight="1" x14ac:dyDescent="0.15">
      <c r="A53" s="276"/>
      <c r="B53" s="89" t="s">
        <v>176</v>
      </c>
      <c r="C53" s="93">
        <v>6</v>
      </c>
      <c r="D53" s="89"/>
      <c r="E53" s="71" t="s">
        <v>175</v>
      </c>
      <c r="F53" s="87" t="s">
        <v>172</v>
      </c>
      <c r="G53" s="71"/>
      <c r="H53" s="71"/>
      <c r="I53" s="73"/>
      <c r="J53" s="92"/>
    </row>
    <row r="54" spans="1:10" ht="15" customHeight="1" x14ac:dyDescent="0.15">
      <c r="A54" s="276"/>
      <c r="B54" s="89" t="s">
        <v>174</v>
      </c>
      <c r="C54" s="93">
        <v>8</v>
      </c>
      <c r="D54" s="85"/>
      <c r="E54" s="71" t="s">
        <v>173</v>
      </c>
      <c r="F54" s="87" t="s">
        <v>172</v>
      </c>
      <c r="G54" s="71"/>
      <c r="H54" s="71"/>
      <c r="I54" s="73"/>
      <c r="J54" s="92"/>
    </row>
    <row r="55" spans="1:10" ht="15.75" customHeight="1" thickBot="1" x14ac:dyDescent="0.2">
      <c r="A55" s="280"/>
      <c r="B55" s="91" t="s">
        <v>171</v>
      </c>
      <c r="C55" s="90">
        <v>10</v>
      </c>
      <c r="D55" s="89"/>
      <c r="E55" s="71" t="s">
        <v>170</v>
      </c>
      <c r="F55" s="87" t="s">
        <v>165</v>
      </c>
      <c r="G55" s="71"/>
      <c r="H55" s="71"/>
      <c r="I55" s="73"/>
      <c r="J55" s="88"/>
    </row>
    <row r="56" spans="1:10" ht="45" x14ac:dyDescent="0.15">
      <c r="A56" s="71" t="s">
        <v>169</v>
      </c>
      <c r="B56" s="71"/>
      <c r="C56" s="71"/>
      <c r="E56" s="71" t="s">
        <v>168</v>
      </c>
      <c r="F56" s="87" t="s">
        <v>165</v>
      </c>
      <c r="G56" s="71"/>
      <c r="H56" s="71"/>
      <c r="I56" s="80"/>
      <c r="J56" s="71"/>
    </row>
    <row r="57" spans="1:10" ht="15" customHeight="1" x14ac:dyDescent="0.15">
      <c r="A57" s="71" t="s">
        <v>167</v>
      </c>
      <c r="B57" s="71"/>
      <c r="C57" s="71"/>
      <c r="D57" s="85"/>
      <c r="E57" s="71" t="s">
        <v>166</v>
      </c>
      <c r="F57" s="86" t="s">
        <v>165</v>
      </c>
      <c r="G57" s="71"/>
      <c r="H57" s="71"/>
      <c r="I57" s="73"/>
      <c r="J57" s="71"/>
    </row>
    <row r="58" spans="1:10" ht="15.75" customHeight="1" x14ac:dyDescent="0.15">
      <c r="A58" s="70"/>
      <c r="B58" s="70"/>
      <c r="C58" s="70"/>
      <c r="D58" s="85"/>
      <c r="E58" s="83" t="s">
        <v>164</v>
      </c>
      <c r="F58" s="84">
        <v>8</v>
      </c>
      <c r="G58" s="70"/>
      <c r="H58" s="70"/>
      <c r="I58" s="73"/>
      <c r="J58" s="70"/>
    </row>
    <row r="59" spans="1:10" ht="15" customHeight="1" x14ac:dyDescent="0.15">
      <c r="B59" s="62"/>
      <c r="C59" s="83"/>
      <c r="D59" s="79" t="s">
        <v>163</v>
      </c>
      <c r="E59" s="81" t="s">
        <v>162</v>
      </c>
      <c r="F59" s="82"/>
      <c r="G59" s="83"/>
      <c r="H59" s="83"/>
      <c r="I59" s="73"/>
      <c r="J59" s="69"/>
    </row>
    <row r="60" spans="1:10" ht="15" customHeight="1" x14ac:dyDescent="0.15">
      <c r="A60" s="279"/>
      <c r="B60" s="279"/>
      <c r="C60" s="81"/>
      <c r="D60" s="79"/>
      <c r="E60" s="81" t="s">
        <v>158</v>
      </c>
      <c r="F60" s="82">
        <f>COUNT(E58:E74)</f>
        <v>0</v>
      </c>
      <c r="G60" s="81"/>
      <c r="H60" s="81"/>
      <c r="I60" s="73"/>
      <c r="J60" s="68"/>
    </row>
    <row r="61" spans="1:10" ht="80.45" customHeight="1" thickBot="1" x14ac:dyDescent="0.2">
      <c r="B61" s="62"/>
      <c r="C61" s="81"/>
      <c r="D61" s="79"/>
      <c r="E61" s="66" t="s">
        <v>161</v>
      </c>
      <c r="F61" s="78"/>
      <c r="G61" s="81"/>
      <c r="H61" s="81"/>
      <c r="I61" s="73"/>
      <c r="J61" s="68"/>
    </row>
    <row r="62" spans="1:10" x14ac:dyDescent="0.15">
      <c r="A62" s="279"/>
      <c r="B62" s="279"/>
      <c r="C62" s="66"/>
      <c r="D62" s="79"/>
      <c r="E62" s="66" t="s">
        <v>160</v>
      </c>
      <c r="F62" s="78"/>
      <c r="G62" s="66"/>
      <c r="H62" s="66"/>
      <c r="I62" s="80"/>
      <c r="J62" s="67"/>
    </row>
    <row r="63" spans="1:10" x14ac:dyDescent="0.15">
      <c r="A63" s="77"/>
      <c r="B63" s="77"/>
      <c r="C63" s="66"/>
      <c r="D63" s="79"/>
      <c r="E63" s="66" t="s">
        <v>159</v>
      </c>
      <c r="F63" s="78"/>
      <c r="G63" s="66"/>
      <c r="H63" s="66"/>
      <c r="I63" s="76"/>
      <c r="J63" s="67"/>
    </row>
    <row r="64" spans="1:10" x14ac:dyDescent="0.15">
      <c r="A64" s="77"/>
      <c r="B64" s="77"/>
      <c r="C64" s="66"/>
      <c r="D64" s="79"/>
      <c r="E64" s="66" t="s">
        <v>158</v>
      </c>
      <c r="F64" s="78"/>
      <c r="G64" s="66"/>
      <c r="H64" s="66"/>
      <c r="I64" s="76"/>
      <c r="J64" s="67"/>
    </row>
    <row r="65" spans="1:10" x14ac:dyDescent="0.15">
      <c r="A65" s="77"/>
      <c r="B65" s="77"/>
      <c r="C65" s="66"/>
      <c r="D65" s="79"/>
      <c r="E65" s="66" t="s">
        <v>157</v>
      </c>
      <c r="F65" s="78"/>
      <c r="G65" s="66"/>
      <c r="H65" s="66"/>
      <c r="I65" s="76"/>
      <c r="J65" s="67"/>
    </row>
    <row r="66" spans="1:10" x14ac:dyDescent="0.15">
      <c r="A66" s="77"/>
      <c r="B66" s="77"/>
      <c r="C66" s="66"/>
      <c r="D66" s="79"/>
      <c r="E66" s="66" t="s">
        <v>156</v>
      </c>
      <c r="F66" s="78"/>
      <c r="G66" s="66"/>
      <c r="H66" s="66"/>
      <c r="I66" s="76"/>
      <c r="J66" s="67"/>
    </row>
    <row r="67" spans="1:10" x14ac:dyDescent="0.15">
      <c r="A67" s="77"/>
      <c r="B67" s="77"/>
      <c r="C67" s="66"/>
      <c r="D67" s="79"/>
      <c r="E67" s="66" t="s">
        <v>155</v>
      </c>
      <c r="F67" s="78"/>
      <c r="G67" s="66"/>
      <c r="H67" s="66"/>
      <c r="I67" s="76"/>
      <c r="J67" s="67"/>
    </row>
    <row r="68" spans="1:10" x14ac:dyDescent="0.15">
      <c r="A68" s="77"/>
      <c r="B68" s="77"/>
      <c r="C68" s="66"/>
      <c r="D68" s="79"/>
      <c r="E68" s="66" t="s">
        <v>154</v>
      </c>
      <c r="F68" s="78"/>
      <c r="G68" s="66"/>
      <c r="H68" s="66"/>
      <c r="I68" s="76"/>
      <c r="J68" s="67"/>
    </row>
    <row r="69" spans="1:10" x14ac:dyDescent="0.15">
      <c r="A69" s="77"/>
      <c r="B69" s="77"/>
      <c r="C69" s="66"/>
      <c r="D69" s="79"/>
      <c r="E69" s="66" t="s">
        <v>153</v>
      </c>
      <c r="F69" s="78"/>
      <c r="G69" s="66"/>
      <c r="H69" s="66"/>
      <c r="I69" s="76"/>
      <c r="J69" s="67"/>
    </row>
    <row r="70" spans="1:10" x14ac:dyDescent="0.15">
      <c r="A70" s="77"/>
      <c r="B70" s="77"/>
      <c r="C70" s="66"/>
      <c r="D70" s="79"/>
      <c r="E70" s="66" t="s">
        <v>152</v>
      </c>
      <c r="F70" s="78"/>
      <c r="G70" s="66"/>
      <c r="H70" s="66"/>
      <c r="I70" s="76"/>
      <c r="J70" s="67"/>
    </row>
    <row r="71" spans="1:10" x14ac:dyDescent="0.15">
      <c r="A71" s="77"/>
      <c r="B71" s="77"/>
      <c r="C71" s="66"/>
      <c r="D71" s="79"/>
      <c r="E71" s="66" t="s">
        <v>151</v>
      </c>
      <c r="F71" s="78"/>
      <c r="G71" s="66"/>
      <c r="H71" s="66"/>
      <c r="I71" s="76"/>
      <c r="J71" s="67"/>
    </row>
    <row r="72" spans="1:10" x14ac:dyDescent="0.15">
      <c r="A72" s="77"/>
      <c r="B72" s="77"/>
      <c r="C72" s="66"/>
      <c r="D72" s="79"/>
      <c r="E72" s="66" t="s">
        <v>150</v>
      </c>
      <c r="F72" s="78"/>
      <c r="G72" s="66"/>
      <c r="H72" s="66"/>
      <c r="I72" s="76"/>
      <c r="J72" s="67"/>
    </row>
    <row r="73" spans="1:10" x14ac:dyDescent="0.15">
      <c r="A73" s="77"/>
      <c r="B73" s="77"/>
      <c r="C73" s="66"/>
      <c r="D73" s="79"/>
      <c r="E73" s="66" t="s">
        <v>149</v>
      </c>
      <c r="F73" s="78"/>
      <c r="G73" s="66"/>
      <c r="H73" s="66"/>
      <c r="I73" s="76"/>
      <c r="J73" s="67"/>
    </row>
    <row r="74" spans="1:10" x14ac:dyDescent="0.15">
      <c r="A74" s="77"/>
      <c r="B74" s="77"/>
      <c r="C74" s="66"/>
      <c r="D74" s="79"/>
      <c r="E74" s="66" t="s">
        <v>148</v>
      </c>
      <c r="F74" s="78"/>
      <c r="G74" s="66"/>
      <c r="H74" s="66"/>
      <c r="I74" s="76"/>
      <c r="J74" s="67"/>
    </row>
    <row r="75" spans="1:10" x14ac:dyDescent="0.15">
      <c r="A75" s="77"/>
      <c r="B75" s="77"/>
      <c r="C75" s="66"/>
      <c r="D75" s="79"/>
      <c r="E75" s="66" t="s">
        <v>147</v>
      </c>
      <c r="F75" s="78"/>
      <c r="G75" s="66"/>
      <c r="H75" s="66"/>
      <c r="I75" s="76"/>
      <c r="J75" s="67"/>
    </row>
    <row r="76" spans="1:10" x14ac:dyDescent="0.15">
      <c r="A76" s="77"/>
      <c r="B76" s="77"/>
      <c r="C76" s="66"/>
      <c r="D76" s="278" t="s">
        <v>146</v>
      </c>
      <c r="E76" s="66" t="s">
        <v>145</v>
      </c>
      <c r="F76" s="78"/>
      <c r="G76" s="66"/>
      <c r="H76" s="66"/>
      <c r="I76" s="76"/>
      <c r="J76" s="67"/>
    </row>
    <row r="77" spans="1:10" x14ac:dyDescent="0.15">
      <c r="A77" s="77"/>
      <c r="B77" s="77"/>
      <c r="C77" s="66"/>
      <c r="D77" s="278"/>
      <c r="E77" s="66" t="s">
        <v>144</v>
      </c>
      <c r="F77" s="78"/>
      <c r="G77" s="66"/>
      <c r="H77" s="66"/>
      <c r="I77" s="76"/>
      <c r="J77" s="67"/>
    </row>
    <row r="78" spans="1:10" x14ac:dyDescent="0.15">
      <c r="A78" s="77"/>
      <c r="B78" s="77"/>
      <c r="C78" s="66"/>
      <c r="D78" s="278"/>
      <c r="E78" s="66" t="s">
        <v>143</v>
      </c>
      <c r="F78" s="78"/>
      <c r="G78" s="66"/>
      <c r="H78" s="66"/>
      <c r="I78" s="76"/>
      <c r="J78" s="67"/>
    </row>
    <row r="79" spans="1:10" x14ac:dyDescent="0.15">
      <c r="A79" s="77"/>
      <c r="B79" s="77"/>
      <c r="C79" s="66"/>
      <c r="D79" s="278"/>
      <c r="E79" s="66"/>
      <c r="F79" s="78"/>
      <c r="G79" s="66"/>
      <c r="H79" s="66"/>
      <c r="I79" s="76"/>
      <c r="J79" s="67"/>
    </row>
    <row r="80" spans="1:10" x14ac:dyDescent="0.15">
      <c r="A80" s="77"/>
      <c r="B80" s="77"/>
      <c r="C80" s="66"/>
      <c r="D80" s="66"/>
      <c r="E80" s="66"/>
      <c r="F80" s="78"/>
      <c r="G80" s="66"/>
      <c r="H80" s="66"/>
      <c r="I80" s="76"/>
      <c r="J80" s="67"/>
    </row>
    <row r="81" spans="1:10" x14ac:dyDescent="0.15">
      <c r="A81" s="77"/>
      <c r="B81" s="77"/>
      <c r="C81" s="66"/>
      <c r="D81" s="66"/>
      <c r="E81" s="63" t="s">
        <v>142</v>
      </c>
      <c r="G81" s="66"/>
      <c r="H81" s="66"/>
      <c r="I81" s="76"/>
      <c r="J81" s="67"/>
    </row>
    <row r="82" spans="1:10" x14ac:dyDescent="0.15">
      <c r="B82" s="66"/>
      <c r="E82" s="74">
        <v>0.25</v>
      </c>
      <c r="I82" s="73"/>
    </row>
    <row r="83" spans="1:10" ht="15.75" x14ac:dyDescent="0.15">
      <c r="C83" s="75" t="s">
        <v>141</v>
      </c>
      <c r="D83" s="75"/>
      <c r="E83" s="74">
        <v>0.5</v>
      </c>
      <c r="I83" s="73"/>
    </row>
    <row r="84" spans="1:10" x14ac:dyDescent="0.15">
      <c r="C84" s="64" t="s">
        <v>140</v>
      </c>
      <c r="D84" s="64"/>
      <c r="E84" s="74">
        <v>0.15</v>
      </c>
      <c r="I84" s="73"/>
    </row>
    <row r="85" spans="1:10" x14ac:dyDescent="0.15">
      <c r="C85" s="63" t="s">
        <v>139</v>
      </c>
      <c r="E85" s="74">
        <v>0.1</v>
      </c>
      <c r="I85" s="73"/>
    </row>
    <row r="86" spans="1:10" x14ac:dyDescent="0.15">
      <c r="C86" s="63" t="s">
        <v>138</v>
      </c>
      <c r="I86" s="73"/>
    </row>
    <row r="87" spans="1:10" ht="15.75" thickBot="1" x14ac:dyDescent="0.2">
      <c r="I87" s="72"/>
    </row>
    <row r="88" spans="1:10" x14ac:dyDescent="0.15">
      <c r="I88" s="71"/>
    </row>
    <row r="89" spans="1:10" x14ac:dyDescent="0.15">
      <c r="I89" s="71"/>
    </row>
    <row r="90" spans="1:10" ht="15.75" x14ac:dyDescent="0.15">
      <c r="I90" s="70"/>
    </row>
    <row r="91" spans="1:10" x14ac:dyDescent="0.15">
      <c r="I91" s="69"/>
    </row>
    <row r="92" spans="1:10" x14ac:dyDescent="0.15">
      <c r="I92" s="68"/>
    </row>
    <row r="93" spans="1:10" x14ac:dyDescent="0.15">
      <c r="I93" s="68"/>
    </row>
    <row r="94" spans="1:10" x14ac:dyDescent="0.15">
      <c r="I94" s="67"/>
    </row>
    <row r="95" spans="1:10" x14ac:dyDescent="0.15">
      <c r="I95" s="66"/>
    </row>
  </sheetData>
  <mergeCells count="26">
    <mergeCell ref="D76:D79"/>
    <mergeCell ref="A60:B60"/>
    <mergeCell ref="A62:B62"/>
    <mergeCell ref="A48:A55"/>
    <mergeCell ref="B48:C48"/>
    <mergeCell ref="B46:C46"/>
    <mergeCell ref="B41:C41"/>
    <mergeCell ref="B44:C44"/>
    <mergeCell ref="A38:A47"/>
    <mergeCell ref="B38:C38"/>
    <mergeCell ref="B39:C39"/>
    <mergeCell ref="B47:C47"/>
    <mergeCell ref="A27:A31"/>
    <mergeCell ref="B27:C27"/>
    <mergeCell ref="B28:C28"/>
    <mergeCell ref="B30:C30"/>
    <mergeCell ref="B29:C29"/>
    <mergeCell ref="B31:C31"/>
    <mergeCell ref="A1:B1"/>
    <mergeCell ref="B3:C3"/>
    <mergeCell ref="I3:J3"/>
    <mergeCell ref="A4:A26"/>
    <mergeCell ref="B4:C4"/>
    <mergeCell ref="B5:C5"/>
    <mergeCell ref="B6:C6"/>
    <mergeCell ref="B26:C26"/>
  </mergeCells>
  <phoneticPr fontId="1" type="noConversion"/>
  <dataValidations count="3">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34"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P94"/>
  <sheetViews>
    <sheetView view="pageBreakPreview" topLeftCell="A46" zoomScaleNormal="70" zoomScaleSheetLayoutView="100" workbookViewId="0">
      <selection activeCell="B47" sqref="B47:C47"/>
    </sheetView>
  </sheetViews>
  <sheetFormatPr defaultRowHeight="15" x14ac:dyDescent="0.15"/>
  <cols>
    <col min="1" max="1" width="34.75" style="17" bestFit="1" customWidth="1"/>
    <col min="2" max="2" width="35.75" style="17" customWidth="1"/>
    <col min="3" max="4" width="35.75" style="16" customWidth="1"/>
    <col min="5" max="5" width="40.75" style="17" bestFit="1" customWidth="1"/>
    <col min="6" max="6" width="35.75" style="43" customWidth="1"/>
    <col min="7" max="7" width="35.75" style="16" customWidth="1"/>
    <col min="8" max="8" width="7.5" style="16" customWidth="1"/>
    <col min="9" max="9" width="16.5" style="43" customWidth="1"/>
    <col min="10" max="10" width="35.75" style="16" customWidth="1"/>
    <col min="11" max="16384" width="9" style="15"/>
  </cols>
  <sheetData>
    <row r="1" spans="1:11" ht="18" x14ac:dyDescent="0.15">
      <c r="A1" s="296" t="s">
        <v>411</v>
      </c>
      <c r="B1" s="296"/>
      <c r="I1" s="143"/>
    </row>
    <row r="2" spans="1:11" ht="28.5" customHeight="1" thickBot="1" x14ac:dyDescent="0.2">
      <c r="A2" s="39"/>
      <c r="B2" s="39"/>
      <c r="C2" s="39"/>
      <c r="D2" s="39"/>
      <c r="E2" s="39"/>
      <c r="F2" s="44"/>
      <c r="G2" s="39"/>
      <c r="H2" s="39"/>
      <c r="I2" s="44"/>
      <c r="J2" s="39"/>
    </row>
    <row r="3" spans="1:11" ht="21.6" customHeight="1" thickBot="1" x14ac:dyDescent="0.2">
      <c r="A3" s="38" t="s">
        <v>410</v>
      </c>
      <c r="B3" s="297" t="s">
        <v>409</v>
      </c>
      <c r="C3" s="298"/>
      <c r="D3" s="37"/>
      <c r="E3" s="37"/>
      <c r="F3" s="45"/>
      <c r="G3" s="37"/>
      <c r="H3" s="37"/>
      <c r="I3" s="297" t="s">
        <v>408</v>
      </c>
      <c r="J3" s="298"/>
    </row>
    <row r="4" spans="1:11" ht="15.75" customHeight="1" x14ac:dyDescent="0.15">
      <c r="A4" s="299" t="s">
        <v>407</v>
      </c>
      <c r="B4" s="294" t="s">
        <v>372</v>
      </c>
      <c r="C4" s="295"/>
      <c r="D4" s="36"/>
      <c r="E4" s="36"/>
      <c r="F4" s="46"/>
      <c r="G4" s="36"/>
      <c r="H4" s="36"/>
      <c r="I4" s="142" t="s">
        <v>406</v>
      </c>
      <c r="J4" s="35" t="s">
        <v>405</v>
      </c>
      <c r="K4" s="34" t="s">
        <v>404</v>
      </c>
    </row>
    <row r="5" spans="1:11" s="27" customFormat="1" ht="30" x14ac:dyDescent="0.15">
      <c r="A5" s="300"/>
      <c r="B5" s="302" t="s">
        <v>403</v>
      </c>
      <c r="C5" s="287"/>
      <c r="D5" s="23"/>
      <c r="E5" s="23"/>
      <c r="F5" s="47"/>
      <c r="G5" s="23"/>
      <c r="H5" s="23"/>
      <c r="I5" s="141" t="s">
        <v>402</v>
      </c>
      <c r="J5" s="33" t="s">
        <v>401</v>
      </c>
    </row>
    <row r="6" spans="1:11" s="27" customFormat="1" x14ac:dyDescent="0.15">
      <c r="A6" s="300"/>
      <c r="B6" s="302"/>
      <c r="C6" s="287"/>
      <c r="D6" s="23"/>
      <c r="E6" s="23"/>
      <c r="F6" s="47"/>
      <c r="G6" s="23"/>
      <c r="H6" s="23"/>
      <c r="I6" s="141" t="s">
        <v>400</v>
      </c>
      <c r="J6" s="33" t="s">
        <v>399</v>
      </c>
    </row>
    <row r="7" spans="1:11" s="27" customFormat="1" ht="45.75" thickBot="1" x14ac:dyDescent="0.2">
      <c r="A7" s="300"/>
      <c r="B7" s="54"/>
      <c r="C7" s="55"/>
      <c r="D7" s="23"/>
      <c r="E7" s="23"/>
      <c r="F7" s="47"/>
      <c r="G7" s="23"/>
      <c r="H7" s="23"/>
      <c r="I7" s="140" t="s">
        <v>398</v>
      </c>
      <c r="J7" s="32" t="s">
        <v>397</v>
      </c>
    </row>
    <row r="8" spans="1:11" s="27" customFormat="1" ht="90" x14ac:dyDescent="0.15">
      <c r="A8" s="300"/>
      <c r="B8" s="54"/>
      <c r="C8" s="55"/>
      <c r="D8" s="23"/>
      <c r="E8" s="23"/>
      <c r="F8" s="47"/>
      <c r="G8" s="23"/>
      <c r="H8" s="23"/>
      <c r="I8" s="139" t="s">
        <v>396</v>
      </c>
      <c r="J8" s="55" t="s">
        <v>395</v>
      </c>
    </row>
    <row r="9" spans="1:11" s="27" customFormat="1" ht="30" x14ac:dyDescent="0.15">
      <c r="A9" s="300"/>
      <c r="B9" s="54"/>
      <c r="C9" s="55"/>
      <c r="D9" s="23"/>
      <c r="E9" s="23"/>
      <c r="F9" s="47"/>
      <c r="G9" s="23"/>
      <c r="H9" s="23"/>
      <c r="I9" s="137" t="s">
        <v>394</v>
      </c>
      <c r="J9" s="55" t="s">
        <v>393</v>
      </c>
    </row>
    <row r="10" spans="1:11" s="27" customFormat="1" ht="30" x14ac:dyDescent="0.15">
      <c r="A10" s="300"/>
      <c r="B10" s="54"/>
      <c r="C10" s="55"/>
      <c r="D10" s="23"/>
      <c r="E10" s="23"/>
      <c r="F10" s="47"/>
      <c r="G10" s="23"/>
      <c r="H10" s="23"/>
      <c r="I10" s="137" t="s">
        <v>392</v>
      </c>
      <c r="J10" s="55" t="s">
        <v>391</v>
      </c>
    </row>
    <row r="11" spans="1:11" s="27" customFormat="1" ht="45" x14ac:dyDescent="0.15">
      <c r="A11" s="300"/>
      <c r="B11" s="54"/>
      <c r="C11" s="55"/>
      <c r="D11" s="23"/>
      <c r="E11" s="23"/>
      <c r="F11" s="47"/>
      <c r="G11" s="23"/>
      <c r="H11" s="23"/>
      <c r="I11" s="138" t="s">
        <v>390</v>
      </c>
      <c r="J11" s="23" t="s">
        <v>389</v>
      </c>
    </row>
    <row r="12" spans="1:11" s="27" customFormat="1" ht="30" x14ac:dyDescent="0.15">
      <c r="A12" s="300"/>
      <c r="B12" s="54"/>
      <c r="C12" s="55"/>
      <c r="D12" s="23"/>
      <c r="E12" s="23"/>
      <c r="F12" s="47"/>
      <c r="G12" s="23"/>
      <c r="H12" s="23"/>
      <c r="I12" s="137" t="s">
        <v>388</v>
      </c>
      <c r="J12" s="23" t="s">
        <v>387</v>
      </c>
    </row>
    <row r="13" spans="1:11" s="27" customFormat="1" ht="60" x14ac:dyDescent="0.15">
      <c r="A13" s="300"/>
      <c r="B13" s="54"/>
      <c r="C13" s="55"/>
      <c r="D13" s="23"/>
      <c r="E13" s="23"/>
      <c r="F13" s="47"/>
      <c r="G13" s="23"/>
      <c r="H13" s="23"/>
      <c r="I13" s="137" t="s">
        <v>386</v>
      </c>
      <c r="J13" s="23" t="s">
        <v>385</v>
      </c>
    </row>
    <row r="14" spans="1:11" s="27" customFormat="1" ht="30" x14ac:dyDescent="0.15">
      <c r="A14" s="300"/>
      <c r="B14" s="54"/>
      <c r="C14" s="55"/>
      <c r="D14" s="23"/>
      <c r="E14" s="23"/>
      <c r="F14" s="47"/>
      <c r="G14" s="23"/>
      <c r="H14" s="23"/>
      <c r="I14" s="137" t="s">
        <v>384</v>
      </c>
      <c r="J14" s="23"/>
    </row>
    <row r="15" spans="1:11" s="27" customFormat="1" ht="30" x14ac:dyDescent="0.15">
      <c r="A15" s="300"/>
      <c r="B15" s="54"/>
      <c r="C15" s="55"/>
      <c r="D15" s="23"/>
      <c r="E15" s="23"/>
      <c r="F15" s="47"/>
      <c r="G15" s="23"/>
      <c r="H15" s="23"/>
      <c r="I15" s="137" t="s">
        <v>383</v>
      </c>
      <c r="J15" s="23"/>
    </row>
    <row r="16" spans="1:11" s="27" customFormat="1" ht="30" x14ac:dyDescent="0.15">
      <c r="A16" s="300"/>
      <c r="B16" s="54"/>
      <c r="C16" s="55"/>
      <c r="D16" s="23"/>
      <c r="E16" s="23"/>
      <c r="F16" s="47"/>
      <c r="G16" s="23"/>
      <c r="H16" s="23"/>
      <c r="I16" s="137" t="s">
        <v>382</v>
      </c>
      <c r="J16" s="23"/>
    </row>
    <row r="17" spans="1:16" s="27" customFormat="1" x14ac:dyDescent="0.15">
      <c r="A17" s="300"/>
      <c r="B17" s="54"/>
      <c r="C17" s="55"/>
      <c r="D17" s="23"/>
      <c r="E17" s="23"/>
      <c r="F17" s="47"/>
      <c r="G17" s="23"/>
      <c r="H17" s="23"/>
      <c r="I17" s="137" t="s">
        <v>381</v>
      </c>
      <c r="J17" s="23"/>
    </row>
    <row r="18" spans="1:16" s="27" customFormat="1" ht="30" x14ac:dyDescent="0.15">
      <c r="A18" s="300"/>
      <c r="B18" s="54"/>
      <c r="C18" s="55"/>
      <c r="D18" s="23"/>
      <c r="E18" s="23"/>
      <c r="F18" s="47"/>
      <c r="G18" s="23"/>
      <c r="H18" s="23"/>
      <c r="I18" s="137" t="s">
        <v>380</v>
      </c>
      <c r="J18" s="23"/>
    </row>
    <row r="19" spans="1:16" s="27" customFormat="1" ht="30" x14ac:dyDescent="0.15">
      <c r="A19" s="300"/>
      <c r="B19" s="54"/>
      <c r="C19" s="55"/>
      <c r="D19" s="23"/>
      <c r="E19" s="23"/>
      <c r="F19" s="47"/>
      <c r="G19" s="23"/>
      <c r="H19" s="23"/>
      <c r="I19" s="137" t="s">
        <v>379</v>
      </c>
      <c r="J19" s="23"/>
    </row>
    <row r="20" spans="1:16" s="27" customFormat="1" x14ac:dyDescent="0.15">
      <c r="A20" s="300"/>
      <c r="B20" s="54"/>
      <c r="C20" s="55"/>
      <c r="D20" s="23"/>
      <c r="E20" s="23"/>
      <c r="F20" s="47"/>
      <c r="G20" s="23"/>
      <c r="H20" s="23"/>
      <c r="I20" s="137" t="s">
        <v>378</v>
      </c>
      <c r="J20" s="23"/>
    </row>
    <row r="21" spans="1:16" s="27" customFormat="1" ht="60" x14ac:dyDescent="0.15">
      <c r="A21" s="300"/>
      <c r="B21" s="54"/>
      <c r="C21" s="55"/>
      <c r="D21" s="23"/>
      <c r="E21" s="23"/>
      <c r="F21" s="47"/>
      <c r="G21" s="23"/>
      <c r="H21" s="23"/>
      <c r="I21" s="137" t="s">
        <v>377</v>
      </c>
      <c r="J21" s="23"/>
    </row>
    <row r="22" spans="1:16" s="27" customFormat="1" ht="30" x14ac:dyDescent="0.15">
      <c r="A22" s="300"/>
      <c r="B22" s="54"/>
      <c r="C22" s="55"/>
      <c r="D22" s="23"/>
      <c r="E22" s="23"/>
      <c r="F22" s="47"/>
      <c r="G22" s="23"/>
      <c r="H22" s="23"/>
      <c r="I22" s="137" t="s">
        <v>376</v>
      </c>
      <c r="J22" s="23"/>
    </row>
    <row r="23" spans="1:16" s="27" customFormat="1" ht="30" x14ac:dyDescent="0.15">
      <c r="A23" s="300"/>
      <c r="B23" s="54"/>
      <c r="C23" s="55"/>
      <c r="D23" s="23"/>
      <c r="E23" s="23"/>
      <c r="F23" s="47"/>
      <c r="G23" s="23"/>
      <c r="H23" s="23"/>
      <c r="I23" s="137" t="s">
        <v>375</v>
      </c>
      <c r="J23" s="23"/>
    </row>
    <row r="24" spans="1:16" s="27" customFormat="1" x14ac:dyDescent="0.15">
      <c r="A24" s="300"/>
      <c r="B24" s="54"/>
      <c r="C24" s="55"/>
      <c r="D24" s="23"/>
      <c r="E24" s="23"/>
      <c r="F24" s="47"/>
      <c r="G24" s="23"/>
      <c r="H24" s="23"/>
      <c r="I24" s="138"/>
      <c r="J24" s="23"/>
    </row>
    <row r="25" spans="1:16" s="27" customFormat="1" x14ac:dyDescent="0.15">
      <c r="A25" s="300"/>
      <c r="B25" s="54"/>
      <c r="C25" s="55"/>
      <c r="D25" s="23"/>
      <c r="E25" s="23"/>
      <c r="F25" s="47"/>
      <c r="G25" s="23"/>
      <c r="H25" s="23"/>
      <c r="I25" s="137"/>
      <c r="J25" s="23"/>
    </row>
    <row r="26" spans="1:16" s="27" customFormat="1" ht="15.75" customHeight="1" thickBot="1" x14ac:dyDescent="0.2">
      <c r="A26" s="301"/>
      <c r="B26" s="289"/>
      <c r="C26" s="290"/>
      <c r="D26" s="23"/>
      <c r="E26" s="23"/>
      <c r="F26" s="47"/>
      <c r="G26" s="23"/>
      <c r="H26" s="23"/>
      <c r="I26" s="137"/>
      <c r="L26" s="27" t="s">
        <v>374</v>
      </c>
    </row>
    <row r="27" spans="1:16" s="27" customFormat="1" ht="15" customHeight="1" x14ac:dyDescent="0.15">
      <c r="A27" s="291" t="s">
        <v>373</v>
      </c>
      <c r="B27" s="294" t="s">
        <v>372</v>
      </c>
      <c r="C27" s="295"/>
      <c r="D27" s="28"/>
      <c r="E27" s="28" t="s">
        <v>371</v>
      </c>
      <c r="F27" s="48" t="s">
        <v>370</v>
      </c>
      <c r="G27" s="28"/>
      <c r="H27" s="28"/>
      <c r="I27" s="47" t="s">
        <v>369</v>
      </c>
      <c r="J27" s="53"/>
      <c r="K27" s="29" t="s">
        <v>368</v>
      </c>
    </row>
    <row r="28" spans="1:16" s="27" customFormat="1" ht="120" x14ac:dyDescent="0.15">
      <c r="A28" s="292"/>
      <c r="B28" s="286" t="s">
        <v>367</v>
      </c>
      <c r="C28" s="287"/>
      <c r="D28" s="23"/>
      <c r="E28" s="136">
        <v>5</v>
      </c>
      <c r="F28" s="30">
        <f>LOOKUP(E28,G28:G34,I28:I34)</f>
        <v>4</v>
      </c>
      <c r="G28" s="30">
        <v>1</v>
      </c>
      <c r="H28" s="23" t="s">
        <v>366</v>
      </c>
      <c r="I28" s="31">
        <v>10</v>
      </c>
      <c r="J28" s="55"/>
    </row>
    <row r="29" spans="1:16" s="27" customFormat="1" ht="150" x14ac:dyDescent="0.15">
      <c r="A29" s="292"/>
      <c r="B29" s="286" t="s">
        <v>365</v>
      </c>
      <c r="C29" s="287"/>
      <c r="D29" s="23"/>
      <c r="E29" s="23"/>
      <c r="F29" s="30"/>
      <c r="G29" s="30">
        <v>2</v>
      </c>
      <c r="H29" s="23" t="s">
        <v>364</v>
      </c>
      <c r="I29" s="31">
        <v>8</v>
      </c>
      <c r="J29" s="55"/>
      <c r="L29" s="29" t="s">
        <v>363</v>
      </c>
      <c r="O29" s="27">
        <v>6.5</v>
      </c>
      <c r="P29" s="27">
        <v>0.5</v>
      </c>
    </row>
    <row r="30" spans="1:16" s="27" customFormat="1" ht="105" x14ac:dyDescent="0.15">
      <c r="A30" s="292"/>
      <c r="B30" s="286" t="s">
        <v>362</v>
      </c>
      <c r="C30" s="287"/>
      <c r="D30" s="23"/>
      <c r="E30" s="23"/>
      <c r="F30" s="30"/>
      <c r="G30" s="30">
        <v>3</v>
      </c>
      <c r="H30" s="23" t="s">
        <v>361</v>
      </c>
      <c r="I30" s="31">
        <v>6</v>
      </c>
      <c r="J30" s="55"/>
      <c r="L30" s="29"/>
    </row>
    <row r="31" spans="1:16" s="27" customFormat="1" ht="195" x14ac:dyDescent="0.15">
      <c r="A31" s="292"/>
      <c r="B31" s="286" t="s">
        <v>360</v>
      </c>
      <c r="C31" s="287"/>
      <c r="D31" s="23"/>
      <c r="E31" s="23"/>
      <c r="F31" s="30"/>
      <c r="G31" s="30">
        <v>4</v>
      </c>
      <c r="H31" s="23" t="s">
        <v>359</v>
      </c>
      <c r="I31" s="31">
        <v>5</v>
      </c>
      <c r="J31" s="55"/>
      <c r="O31" s="27">
        <v>15</v>
      </c>
    </row>
    <row r="32" spans="1:16" s="27" customFormat="1" ht="165" x14ac:dyDescent="0.15">
      <c r="A32" s="57"/>
      <c r="B32" s="58"/>
      <c r="C32" s="55"/>
      <c r="D32" s="23"/>
      <c r="E32" s="23"/>
      <c r="F32" s="30"/>
      <c r="G32" s="30">
        <v>5</v>
      </c>
      <c r="H32" s="23" t="s">
        <v>358</v>
      </c>
      <c r="I32" s="31">
        <v>4</v>
      </c>
      <c r="J32" s="55"/>
    </row>
    <row r="33" spans="1:11" s="27" customFormat="1" ht="180" x14ac:dyDescent="0.15">
      <c r="A33" s="57"/>
      <c r="B33" s="58"/>
      <c r="C33" s="55"/>
      <c r="D33" s="23"/>
      <c r="E33" s="23"/>
      <c r="F33" s="30"/>
      <c r="G33" s="30">
        <v>6</v>
      </c>
      <c r="H33" s="23" t="s">
        <v>357</v>
      </c>
      <c r="I33" s="31">
        <v>2</v>
      </c>
      <c r="J33" s="55"/>
    </row>
    <row r="34" spans="1:11" s="27" customFormat="1" ht="180" x14ac:dyDescent="0.15">
      <c r="A34" s="57"/>
      <c r="B34" s="58"/>
      <c r="C34" s="55"/>
      <c r="D34" s="23"/>
      <c r="E34" s="23"/>
      <c r="F34" s="30"/>
      <c r="G34" s="30">
        <v>7</v>
      </c>
      <c r="H34" s="23" t="s">
        <v>356</v>
      </c>
      <c r="I34" s="31">
        <v>0</v>
      </c>
      <c r="J34" s="55"/>
    </row>
    <row r="35" spans="1:11" s="27" customFormat="1" ht="15.75" x14ac:dyDescent="0.15">
      <c r="A35" s="57"/>
      <c r="B35" s="58"/>
      <c r="C35" s="55"/>
      <c r="D35" s="23"/>
      <c r="E35" s="135" t="s">
        <v>211</v>
      </c>
      <c r="F35" s="47" t="s">
        <v>355</v>
      </c>
      <c r="G35" s="23"/>
      <c r="H35" s="23"/>
      <c r="I35" s="47"/>
      <c r="J35" s="55"/>
    </row>
    <row r="36" spans="1:11" s="27" customFormat="1" ht="15.75" x14ac:dyDescent="0.15">
      <c r="A36" s="57"/>
      <c r="B36" s="58"/>
      <c r="C36" s="55"/>
      <c r="D36" s="23"/>
      <c r="E36" s="281" t="s">
        <v>354</v>
      </c>
      <c r="F36" s="281"/>
      <c r="G36" s="23"/>
      <c r="H36" s="23"/>
      <c r="I36" s="47"/>
      <c r="J36" s="55"/>
    </row>
    <row r="37" spans="1:11" s="27" customFormat="1" ht="16.5" thickBot="1" x14ac:dyDescent="0.2">
      <c r="A37" s="57"/>
      <c r="B37" s="58"/>
      <c r="C37" s="55"/>
      <c r="D37" s="23"/>
      <c r="E37" s="134" t="s">
        <v>353</v>
      </c>
      <c r="F37" s="133" t="s">
        <v>352</v>
      </c>
      <c r="G37" s="23"/>
      <c r="H37" s="23" t="s">
        <v>351</v>
      </c>
      <c r="I37" s="47" t="str">
        <f>LOOKUP(H37,H38:H42,I38:I42)</f>
        <v>10</v>
      </c>
      <c r="J37" s="55"/>
    </row>
    <row r="38" spans="1:11" s="27" customFormat="1" ht="16.5" customHeight="1" x14ac:dyDescent="0.15">
      <c r="A38" s="291" t="s">
        <v>350</v>
      </c>
      <c r="B38" s="294" t="s">
        <v>349</v>
      </c>
      <c r="C38" s="295"/>
      <c r="D38" s="28"/>
      <c r="E38" s="132" t="s">
        <v>348</v>
      </c>
      <c r="F38" s="61" t="str">
        <f>VLOOKUP(E38,E39:F47,2,0)</f>
        <v>3</v>
      </c>
      <c r="G38" s="28"/>
      <c r="H38" s="23" t="s">
        <v>347</v>
      </c>
      <c r="I38" s="47" t="s">
        <v>301</v>
      </c>
      <c r="J38" s="53"/>
      <c r="K38" s="29" t="s">
        <v>346</v>
      </c>
    </row>
    <row r="39" spans="1:11" s="27" customFormat="1" ht="37.5" customHeight="1" x14ac:dyDescent="0.15">
      <c r="A39" s="292"/>
      <c r="B39" s="286" t="s">
        <v>345</v>
      </c>
      <c r="C39" s="287"/>
      <c r="D39" s="23" t="s">
        <v>313</v>
      </c>
      <c r="E39" s="23" t="s">
        <v>344</v>
      </c>
      <c r="F39" s="30">
        <v>10</v>
      </c>
      <c r="G39" s="23"/>
      <c r="H39" s="23" t="s">
        <v>343</v>
      </c>
      <c r="I39" s="47" t="s">
        <v>293</v>
      </c>
      <c r="J39" s="55"/>
    </row>
    <row r="40" spans="1:11" s="27" customFormat="1" ht="37.5" customHeight="1" x14ac:dyDescent="0.15">
      <c r="A40" s="292"/>
      <c r="B40" s="58"/>
      <c r="C40" s="55"/>
      <c r="D40" s="23" t="s">
        <v>342</v>
      </c>
      <c r="E40" s="23" t="s">
        <v>341</v>
      </c>
      <c r="F40" s="30" t="s">
        <v>293</v>
      </c>
      <c r="G40" s="23"/>
      <c r="H40" s="23" t="s">
        <v>340</v>
      </c>
      <c r="I40" s="47" t="s">
        <v>336</v>
      </c>
      <c r="J40" s="55"/>
    </row>
    <row r="41" spans="1:11" s="27" customFormat="1" ht="65.25" customHeight="1" x14ac:dyDescent="0.15">
      <c r="A41" s="292"/>
      <c r="B41" s="286" t="s">
        <v>339</v>
      </c>
      <c r="C41" s="287"/>
      <c r="D41" s="23" t="s">
        <v>338</v>
      </c>
      <c r="E41" s="23" t="s">
        <v>337</v>
      </c>
      <c r="F41" s="30" t="s">
        <v>336</v>
      </c>
      <c r="G41" s="23"/>
      <c r="H41" s="23" t="s">
        <v>335</v>
      </c>
      <c r="I41" s="47" t="s">
        <v>332</v>
      </c>
      <c r="J41" s="55"/>
    </row>
    <row r="42" spans="1:11" s="27" customFormat="1" ht="65.25" customHeight="1" x14ac:dyDescent="0.15">
      <c r="A42" s="292"/>
      <c r="B42" s="58"/>
      <c r="C42" s="55"/>
      <c r="D42" s="23" t="s">
        <v>334</v>
      </c>
      <c r="E42" s="23" t="s">
        <v>333</v>
      </c>
      <c r="F42" s="30" t="s">
        <v>332</v>
      </c>
      <c r="G42" s="23"/>
      <c r="H42" s="23" t="s">
        <v>331</v>
      </c>
      <c r="I42" s="47" t="s">
        <v>328</v>
      </c>
      <c r="J42" s="55"/>
    </row>
    <row r="43" spans="1:11" s="27" customFormat="1" ht="65.25" customHeight="1" x14ac:dyDescent="0.15">
      <c r="A43" s="292"/>
      <c r="B43" s="58"/>
      <c r="C43" s="55"/>
      <c r="D43" s="23" t="s">
        <v>330</v>
      </c>
      <c r="E43" s="23" t="s">
        <v>329</v>
      </c>
      <c r="F43" s="30" t="s">
        <v>328</v>
      </c>
      <c r="G43" s="23"/>
      <c r="H43" s="23"/>
      <c r="I43" s="47"/>
      <c r="J43" s="55"/>
    </row>
    <row r="44" spans="1:11" s="27" customFormat="1" ht="39.75" customHeight="1" x14ac:dyDescent="0.15">
      <c r="A44" s="292"/>
      <c r="B44" s="286" t="s">
        <v>327</v>
      </c>
      <c r="C44" s="287"/>
      <c r="D44" s="23" t="s">
        <v>326</v>
      </c>
      <c r="E44" s="23" t="s">
        <v>325</v>
      </c>
      <c r="F44" s="30" t="s">
        <v>324</v>
      </c>
      <c r="G44" s="23"/>
      <c r="H44" s="23"/>
      <c r="I44" s="47"/>
      <c r="J44" s="55"/>
    </row>
    <row r="45" spans="1:11" s="27" customFormat="1" ht="39.75" customHeight="1" x14ac:dyDescent="0.15">
      <c r="A45" s="292"/>
      <c r="B45" s="58"/>
      <c r="C45" s="55"/>
      <c r="D45" s="23" t="s">
        <v>323</v>
      </c>
      <c r="E45" s="23" t="s">
        <v>322</v>
      </c>
      <c r="F45" s="30" t="s">
        <v>321</v>
      </c>
      <c r="G45" s="23"/>
      <c r="H45" s="23"/>
      <c r="I45" s="47"/>
      <c r="J45" s="55"/>
    </row>
    <row r="46" spans="1:11" s="27" customFormat="1" ht="63.75" customHeight="1" thickBot="1" x14ac:dyDescent="0.2">
      <c r="A46" s="292"/>
      <c r="B46" s="286" t="s">
        <v>320</v>
      </c>
      <c r="C46" s="287"/>
      <c r="D46" s="23" t="s">
        <v>319</v>
      </c>
      <c r="E46" s="23" t="s">
        <v>318</v>
      </c>
      <c r="F46" s="30" t="s">
        <v>317</v>
      </c>
      <c r="G46" s="23"/>
      <c r="H46" s="23"/>
      <c r="I46" s="31"/>
      <c r="J46" s="55"/>
    </row>
    <row r="47" spans="1:11" s="27" customFormat="1" ht="15" customHeight="1" thickBot="1" x14ac:dyDescent="0.2">
      <c r="A47" s="292"/>
      <c r="B47" s="286" t="s">
        <v>316</v>
      </c>
      <c r="C47" s="287"/>
      <c r="D47" s="23" t="s">
        <v>315</v>
      </c>
      <c r="E47" s="23" t="s">
        <v>314</v>
      </c>
      <c r="F47" s="30" t="s">
        <v>313</v>
      </c>
      <c r="G47" s="23"/>
      <c r="H47" s="23"/>
      <c r="I47" s="131"/>
      <c r="J47" s="55"/>
    </row>
    <row r="48" spans="1:11" s="27" customFormat="1" ht="15.75" customHeight="1" x14ac:dyDescent="0.15">
      <c r="A48" s="291" t="s">
        <v>312</v>
      </c>
      <c r="B48" s="294" t="s">
        <v>311</v>
      </c>
      <c r="C48" s="295"/>
      <c r="D48" s="28"/>
      <c r="E48" s="23"/>
      <c r="F48" s="47"/>
      <c r="G48" s="28"/>
      <c r="H48" s="28"/>
      <c r="I48" s="129"/>
      <c r="J48" s="53"/>
    </row>
    <row r="49" spans="1:10" s="27" customFormat="1" ht="15" customHeight="1" x14ac:dyDescent="0.15">
      <c r="A49" s="292"/>
      <c r="B49" s="286" t="s">
        <v>310</v>
      </c>
      <c r="C49" s="287"/>
      <c r="D49" s="23"/>
      <c r="E49" s="23"/>
      <c r="F49" s="47"/>
      <c r="G49" s="23"/>
      <c r="H49" s="23"/>
      <c r="I49" s="129"/>
      <c r="J49" s="55"/>
    </row>
    <row r="50" spans="1:10" ht="15" customHeight="1" x14ac:dyDescent="0.15">
      <c r="A50" s="292"/>
      <c r="B50" s="286" t="s">
        <v>309</v>
      </c>
      <c r="C50" s="287"/>
      <c r="D50" s="23"/>
      <c r="E50" s="23"/>
      <c r="F50" s="47"/>
      <c r="G50" s="23"/>
      <c r="H50" s="23"/>
      <c r="I50" s="129"/>
      <c r="J50" s="55"/>
    </row>
    <row r="51" spans="1:10" ht="15" customHeight="1" x14ac:dyDescent="0.15">
      <c r="A51" s="292"/>
      <c r="B51" s="286" t="s">
        <v>308</v>
      </c>
      <c r="C51" s="287"/>
      <c r="D51" s="23"/>
      <c r="E51" s="23" t="s">
        <v>307</v>
      </c>
      <c r="F51" s="47" t="s">
        <v>301</v>
      </c>
      <c r="G51" s="23"/>
      <c r="H51" s="23"/>
      <c r="I51" s="129"/>
      <c r="J51" s="55"/>
    </row>
    <row r="52" spans="1:10" ht="15" customHeight="1" x14ac:dyDescent="0.15">
      <c r="A52" s="292"/>
      <c r="B52" s="286" t="s">
        <v>306</v>
      </c>
      <c r="C52" s="287"/>
      <c r="D52" s="283" t="s">
        <v>305</v>
      </c>
      <c r="E52" s="23" t="s">
        <v>304</v>
      </c>
      <c r="F52" s="47" t="s">
        <v>301</v>
      </c>
      <c r="G52" s="23"/>
      <c r="H52" s="23"/>
      <c r="I52" s="129"/>
      <c r="J52" s="55"/>
    </row>
    <row r="53" spans="1:10" ht="15" customHeight="1" x14ac:dyDescent="0.15">
      <c r="A53" s="292"/>
      <c r="B53" s="286" t="s">
        <v>303</v>
      </c>
      <c r="C53" s="287"/>
      <c r="D53" s="283"/>
      <c r="E53" s="23" t="s">
        <v>302</v>
      </c>
      <c r="F53" s="47" t="s">
        <v>301</v>
      </c>
      <c r="G53" s="23"/>
      <c r="H53" s="23"/>
      <c r="I53" s="129"/>
      <c r="J53" s="55"/>
    </row>
    <row r="54" spans="1:10" ht="15.75" customHeight="1" thickBot="1" x14ac:dyDescent="0.2">
      <c r="A54" s="293"/>
      <c r="B54" s="289" t="s">
        <v>300</v>
      </c>
      <c r="C54" s="290"/>
      <c r="D54" s="283"/>
      <c r="E54" s="23" t="s">
        <v>299</v>
      </c>
      <c r="F54" s="47" t="s">
        <v>293</v>
      </c>
      <c r="G54" s="23"/>
      <c r="H54" s="23"/>
      <c r="I54" s="129"/>
      <c r="J54" s="56"/>
    </row>
    <row r="55" spans="1:10" ht="45" x14ac:dyDescent="0.15">
      <c r="A55" s="23" t="s">
        <v>298</v>
      </c>
      <c r="B55" s="23"/>
      <c r="C55" s="23"/>
      <c r="D55" s="284" t="s">
        <v>297</v>
      </c>
      <c r="E55" s="23" t="s">
        <v>296</v>
      </c>
      <c r="F55" s="47" t="s">
        <v>293</v>
      </c>
      <c r="G55" s="23"/>
      <c r="H55" s="23"/>
      <c r="I55" s="131"/>
      <c r="J55" s="23"/>
    </row>
    <row r="56" spans="1:10" ht="15" customHeight="1" x14ac:dyDescent="0.15">
      <c r="A56" s="23" t="s">
        <v>295</v>
      </c>
      <c r="B56" s="23"/>
      <c r="C56" s="23"/>
      <c r="D56" s="284"/>
      <c r="E56" s="23" t="s">
        <v>294</v>
      </c>
      <c r="F56" s="49" t="s">
        <v>293</v>
      </c>
      <c r="G56" s="23"/>
      <c r="H56" s="23"/>
      <c r="I56" s="129"/>
      <c r="J56" s="23"/>
    </row>
    <row r="57" spans="1:10" ht="15.75" customHeight="1" x14ac:dyDescent="0.15">
      <c r="A57" s="22"/>
      <c r="B57" s="22"/>
      <c r="C57" s="22"/>
      <c r="D57" s="284"/>
      <c r="E57" s="40" t="s">
        <v>292</v>
      </c>
      <c r="F57" s="50">
        <v>8</v>
      </c>
      <c r="G57" s="22"/>
      <c r="H57" s="22"/>
      <c r="I57" s="129"/>
      <c r="J57" s="22"/>
    </row>
    <row r="58" spans="1:10" ht="15" customHeight="1" x14ac:dyDescent="0.15">
      <c r="B58" s="15"/>
      <c r="C58" s="26"/>
      <c r="D58" s="288" t="s">
        <v>291</v>
      </c>
      <c r="E58" s="41" t="s">
        <v>290</v>
      </c>
      <c r="F58" s="51"/>
      <c r="G58" s="26"/>
      <c r="H58" s="26"/>
      <c r="I58" s="129"/>
      <c r="J58" s="21"/>
    </row>
    <row r="59" spans="1:10" ht="15" customHeight="1" x14ac:dyDescent="0.15">
      <c r="A59" s="285"/>
      <c r="B59" s="285"/>
      <c r="C59" s="25"/>
      <c r="D59" s="288"/>
      <c r="E59" s="41" t="s">
        <v>286</v>
      </c>
      <c r="F59" s="51">
        <f>COUNT(E57:E73)</f>
        <v>0</v>
      </c>
      <c r="G59" s="25"/>
      <c r="H59" s="25"/>
      <c r="I59" s="129"/>
      <c r="J59" s="20"/>
    </row>
    <row r="60" spans="1:10" ht="80.45" customHeight="1" thickBot="1" x14ac:dyDescent="0.2">
      <c r="B60" s="15"/>
      <c r="C60" s="25"/>
      <c r="D60" s="288"/>
      <c r="E60" s="42" t="s">
        <v>289</v>
      </c>
      <c r="F60" s="52"/>
      <c r="G60" s="25"/>
      <c r="H60" s="25"/>
      <c r="I60" s="129"/>
      <c r="J60" s="20"/>
    </row>
    <row r="61" spans="1:10" x14ac:dyDescent="0.15">
      <c r="A61" s="285"/>
      <c r="B61" s="285"/>
      <c r="C61" s="18"/>
      <c r="D61" s="288"/>
      <c r="E61" s="42" t="s">
        <v>288</v>
      </c>
      <c r="F61" s="52"/>
      <c r="G61" s="18"/>
      <c r="H61" s="18"/>
      <c r="I61" s="131"/>
      <c r="J61" s="19"/>
    </row>
    <row r="62" spans="1:10" x14ac:dyDescent="0.15">
      <c r="A62" s="59"/>
      <c r="B62" s="59"/>
      <c r="C62" s="18"/>
      <c r="D62" s="288"/>
      <c r="E62" s="42" t="s">
        <v>287</v>
      </c>
      <c r="F62" s="52"/>
      <c r="G62" s="18"/>
      <c r="H62" s="18"/>
      <c r="I62" s="130"/>
      <c r="J62" s="19"/>
    </row>
    <row r="63" spans="1:10" x14ac:dyDescent="0.15">
      <c r="A63" s="59"/>
      <c r="B63" s="59"/>
      <c r="C63" s="18"/>
      <c r="D63" s="288"/>
      <c r="E63" s="42" t="s">
        <v>286</v>
      </c>
      <c r="F63" s="52"/>
      <c r="G63" s="18"/>
      <c r="H63" s="18"/>
      <c r="I63" s="130"/>
      <c r="J63" s="19"/>
    </row>
    <row r="64" spans="1:10" x14ac:dyDescent="0.15">
      <c r="A64" s="59"/>
      <c r="B64" s="59"/>
      <c r="C64" s="18"/>
      <c r="D64" s="288"/>
      <c r="E64" s="42" t="s">
        <v>285</v>
      </c>
      <c r="F64" s="52"/>
      <c r="G64" s="18"/>
      <c r="H64" s="18"/>
      <c r="I64" s="130"/>
      <c r="J64" s="19"/>
    </row>
    <row r="65" spans="1:10" x14ac:dyDescent="0.15">
      <c r="A65" s="59"/>
      <c r="B65" s="59"/>
      <c r="C65" s="18"/>
      <c r="D65" s="288"/>
      <c r="E65" s="42" t="s">
        <v>284</v>
      </c>
      <c r="F65" s="52"/>
      <c r="G65" s="18"/>
      <c r="H65" s="18"/>
      <c r="I65" s="130"/>
      <c r="J65" s="19"/>
    </row>
    <row r="66" spans="1:10" x14ac:dyDescent="0.15">
      <c r="A66" s="59"/>
      <c r="B66" s="59"/>
      <c r="C66" s="18"/>
      <c r="D66" s="288"/>
      <c r="E66" s="42" t="s">
        <v>283</v>
      </c>
      <c r="F66" s="52"/>
      <c r="G66" s="18"/>
      <c r="H66" s="18"/>
      <c r="I66" s="130"/>
      <c r="J66" s="19"/>
    </row>
    <row r="67" spans="1:10" x14ac:dyDescent="0.15">
      <c r="A67" s="59"/>
      <c r="B67" s="59"/>
      <c r="C67" s="18"/>
      <c r="D67" s="288"/>
      <c r="E67" s="42" t="s">
        <v>282</v>
      </c>
      <c r="F67" s="52"/>
      <c r="G67" s="18"/>
      <c r="H67" s="18"/>
      <c r="I67" s="130"/>
      <c r="J67" s="19"/>
    </row>
    <row r="68" spans="1:10" x14ac:dyDescent="0.15">
      <c r="A68" s="59"/>
      <c r="B68" s="59"/>
      <c r="C68" s="18"/>
      <c r="D68" s="288"/>
      <c r="E68" s="42" t="s">
        <v>281</v>
      </c>
      <c r="F68" s="52"/>
      <c r="G68" s="18"/>
      <c r="H68" s="18"/>
      <c r="I68" s="130"/>
      <c r="J68" s="19"/>
    </row>
    <row r="69" spans="1:10" x14ac:dyDescent="0.15">
      <c r="A69" s="59"/>
      <c r="B69" s="59"/>
      <c r="C69" s="18"/>
      <c r="D69" s="288"/>
      <c r="E69" s="42" t="s">
        <v>280</v>
      </c>
      <c r="F69" s="52"/>
      <c r="G69" s="18"/>
      <c r="H69" s="18"/>
      <c r="I69" s="130"/>
      <c r="J69" s="19"/>
    </row>
    <row r="70" spans="1:10" x14ac:dyDescent="0.15">
      <c r="A70" s="59"/>
      <c r="B70" s="59"/>
      <c r="C70" s="18"/>
      <c r="D70" s="288"/>
      <c r="E70" s="42" t="s">
        <v>279</v>
      </c>
      <c r="F70" s="52"/>
      <c r="G70" s="18"/>
      <c r="H70" s="18"/>
      <c r="I70" s="130"/>
      <c r="J70" s="19"/>
    </row>
    <row r="71" spans="1:10" x14ac:dyDescent="0.15">
      <c r="A71" s="59"/>
      <c r="B71" s="59"/>
      <c r="C71" s="18"/>
      <c r="D71" s="288"/>
      <c r="E71" s="42" t="s">
        <v>278</v>
      </c>
      <c r="F71" s="52"/>
      <c r="G71" s="18"/>
      <c r="H71" s="18"/>
      <c r="I71" s="130"/>
      <c r="J71" s="19"/>
    </row>
    <row r="72" spans="1:10" x14ac:dyDescent="0.15">
      <c r="A72" s="59"/>
      <c r="B72" s="59"/>
      <c r="C72" s="18"/>
      <c r="D72" s="288"/>
      <c r="E72" s="42" t="s">
        <v>277</v>
      </c>
      <c r="F72" s="52"/>
      <c r="G72" s="18"/>
      <c r="H72" s="18"/>
      <c r="I72" s="130"/>
      <c r="J72" s="19"/>
    </row>
    <row r="73" spans="1:10" x14ac:dyDescent="0.15">
      <c r="A73" s="59"/>
      <c r="B73" s="59"/>
      <c r="C73" s="18"/>
      <c r="D73" s="288"/>
      <c r="E73" s="42" t="s">
        <v>276</v>
      </c>
      <c r="F73" s="52"/>
      <c r="G73" s="18"/>
      <c r="H73" s="18"/>
      <c r="I73" s="130"/>
      <c r="J73" s="19"/>
    </row>
    <row r="74" spans="1:10" x14ac:dyDescent="0.15">
      <c r="A74" s="59"/>
      <c r="B74" s="59"/>
      <c r="C74" s="18"/>
      <c r="D74" s="288"/>
      <c r="E74" s="42" t="s">
        <v>275</v>
      </c>
      <c r="F74" s="52"/>
      <c r="G74" s="18"/>
      <c r="H74" s="18"/>
      <c r="I74" s="130"/>
      <c r="J74" s="19"/>
    </row>
    <row r="75" spans="1:10" x14ac:dyDescent="0.15">
      <c r="A75" s="59"/>
      <c r="B75" s="59"/>
      <c r="C75" s="18"/>
      <c r="D75" s="282" t="s">
        <v>274</v>
      </c>
      <c r="E75" s="42" t="s">
        <v>273</v>
      </c>
      <c r="F75" s="52"/>
      <c r="G75" s="18"/>
      <c r="H75" s="18"/>
      <c r="I75" s="130"/>
      <c r="J75" s="19"/>
    </row>
    <row r="76" spans="1:10" x14ac:dyDescent="0.15">
      <c r="A76" s="59"/>
      <c r="B76" s="59"/>
      <c r="C76" s="18"/>
      <c r="D76" s="282"/>
      <c r="E76" s="42" t="s">
        <v>272</v>
      </c>
      <c r="F76" s="52"/>
      <c r="G76" s="18"/>
      <c r="H76" s="18"/>
      <c r="I76" s="130"/>
      <c r="J76" s="19"/>
    </row>
    <row r="77" spans="1:10" x14ac:dyDescent="0.15">
      <c r="A77" s="59"/>
      <c r="B77" s="59"/>
      <c r="C77" s="18"/>
      <c r="D77" s="282"/>
      <c r="E77" s="42" t="s">
        <v>271</v>
      </c>
      <c r="F77" s="52"/>
      <c r="G77" s="18"/>
      <c r="H77" s="18"/>
      <c r="I77" s="130"/>
      <c r="J77" s="19"/>
    </row>
    <row r="78" spans="1:10" x14ac:dyDescent="0.15">
      <c r="A78" s="59"/>
      <c r="B78" s="59"/>
      <c r="C78" s="18"/>
      <c r="D78" s="282"/>
      <c r="E78" s="42"/>
      <c r="F78" s="52"/>
      <c r="G78" s="18"/>
      <c r="H78" s="18"/>
      <c r="I78" s="130"/>
      <c r="J78" s="19"/>
    </row>
    <row r="79" spans="1:10" x14ac:dyDescent="0.15">
      <c r="A79" s="59"/>
      <c r="B79" s="59"/>
      <c r="C79" s="18"/>
      <c r="D79" s="18"/>
      <c r="E79" s="42"/>
      <c r="F79" s="52"/>
      <c r="G79" s="18"/>
      <c r="H79" s="18"/>
      <c r="I79" s="130"/>
      <c r="J79" s="19"/>
    </row>
    <row r="80" spans="1:10" x14ac:dyDescent="0.15">
      <c r="A80" s="59"/>
      <c r="B80" s="59"/>
      <c r="C80" s="18"/>
      <c r="D80" s="18"/>
      <c r="E80" s="17" t="s">
        <v>270</v>
      </c>
      <c r="G80" s="18"/>
      <c r="H80" s="18"/>
      <c r="I80" s="130"/>
      <c r="J80" s="19"/>
    </row>
    <row r="81" spans="2:9" x14ac:dyDescent="0.15">
      <c r="B81" s="18"/>
      <c r="E81" s="17">
        <v>0.25</v>
      </c>
      <c r="I81" s="129"/>
    </row>
    <row r="82" spans="2:9" ht="15.75" x14ac:dyDescent="0.15">
      <c r="C82" s="24" t="s">
        <v>130</v>
      </c>
      <c r="D82" s="24"/>
      <c r="E82" s="17">
        <v>0.5</v>
      </c>
      <c r="I82" s="129"/>
    </row>
    <row r="83" spans="2:9" x14ac:dyDescent="0.15">
      <c r="C83" s="17" t="s">
        <v>129</v>
      </c>
      <c r="D83" s="17"/>
      <c r="E83" s="17">
        <v>0.15</v>
      </c>
      <c r="I83" s="129"/>
    </row>
    <row r="84" spans="2:9" x14ac:dyDescent="0.15">
      <c r="C84" s="16" t="s">
        <v>269</v>
      </c>
      <c r="E84" s="17">
        <v>0.1</v>
      </c>
      <c r="I84" s="129"/>
    </row>
    <row r="85" spans="2:9" x14ac:dyDescent="0.15">
      <c r="C85" s="16" t="s">
        <v>268</v>
      </c>
      <c r="I85" s="129"/>
    </row>
    <row r="86" spans="2:9" ht="15.75" thickBot="1" x14ac:dyDescent="0.2">
      <c r="I86" s="128"/>
    </row>
    <row r="87" spans="2:9" x14ac:dyDescent="0.15">
      <c r="I87" s="47"/>
    </row>
    <row r="88" spans="2:9" x14ac:dyDescent="0.15">
      <c r="I88" s="47"/>
    </row>
    <row r="89" spans="2:9" ht="15.75" x14ac:dyDescent="0.15">
      <c r="I89" s="49"/>
    </row>
    <row r="90" spans="2:9" x14ac:dyDescent="0.15">
      <c r="I90" s="126"/>
    </row>
    <row r="91" spans="2:9" x14ac:dyDescent="0.15">
      <c r="I91" s="127"/>
    </row>
    <row r="92" spans="2:9" x14ac:dyDescent="0.15">
      <c r="I92" s="127"/>
    </row>
    <row r="93" spans="2:9" x14ac:dyDescent="0.15">
      <c r="I93" s="126"/>
    </row>
    <row r="94" spans="2:9" x14ac:dyDescent="0.15">
      <c r="I94" s="52"/>
    </row>
  </sheetData>
  <mergeCells count="36">
    <mergeCell ref="A1:B1"/>
    <mergeCell ref="B3:C3"/>
    <mergeCell ref="I3:J3"/>
    <mergeCell ref="A4:A26"/>
    <mergeCell ref="B4:C4"/>
    <mergeCell ref="B5:C5"/>
    <mergeCell ref="B6:C6"/>
    <mergeCell ref="B26:C26"/>
    <mergeCell ref="A27:A31"/>
    <mergeCell ref="B27:C27"/>
    <mergeCell ref="B28:C28"/>
    <mergeCell ref="B30:C30"/>
    <mergeCell ref="B29:C29"/>
    <mergeCell ref="B31:C31"/>
    <mergeCell ref="B41:C41"/>
    <mergeCell ref="B44:C44"/>
    <mergeCell ref="A38:A47"/>
    <mergeCell ref="B38:C38"/>
    <mergeCell ref="B39:C39"/>
    <mergeCell ref="B47:C47"/>
    <mergeCell ref="E36:F36"/>
    <mergeCell ref="D75:D78"/>
    <mergeCell ref="D52:D54"/>
    <mergeCell ref="D55:D57"/>
    <mergeCell ref="A59:B59"/>
    <mergeCell ref="B49:C49"/>
    <mergeCell ref="B50:C50"/>
    <mergeCell ref="D58:D74"/>
    <mergeCell ref="A61:B61"/>
    <mergeCell ref="B53:C53"/>
    <mergeCell ref="B54:C54"/>
    <mergeCell ref="A48:A54"/>
    <mergeCell ref="B48:C48"/>
    <mergeCell ref="B51:C51"/>
    <mergeCell ref="B52:C52"/>
    <mergeCell ref="B46:C46"/>
  </mergeCells>
  <phoneticPr fontId="1" type="noConversion"/>
  <dataValidations count="4">
    <dataValidation type="list" allowBlank="1" showInputMessage="1" showErrorMessage="1" sqref="H37 JD37 SZ37 ACV37 AMR37 AWN37 BGJ37 BQF37 CAB37 CJX37 CTT37 DDP37 DNL37 DXH37 EHD37 EQZ37 FAV37 FKR37 FUN37 GEJ37 GOF37 GYB37 HHX37 HRT37 IBP37 ILL37 IVH37 JFD37 JOZ37 JYV37 KIR37 KSN37 LCJ37 LMF37 LWB37 MFX37 MPT37 MZP37 NJL37 NTH37 ODD37 OMZ37 OWV37 PGR37 PQN37 QAJ37 QKF37 QUB37 RDX37 RNT37 RXP37 SHL37 SRH37 TBD37 TKZ37 TUV37 UER37 UON37 UYJ37 VIF37 VSB37 WBX37 WLT37 WVP37 H65573 JD65573 SZ65573 ACV65573 AMR65573 AWN65573 BGJ65573 BQF65573 CAB65573 CJX65573 CTT65573 DDP65573 DNL65573 DXH65573 EHD65573 EQZ65573 FAV65573 FKR65573 FUN65573 GEJ65573 GOF65573 GYB65573 HHX65573 HRT65573 IBP65573 ILL65573 IVH65573 JFD65573 JOZ65573 JYV65573 KIR65573 KSN65573 LCJ65573 LMF65573 LWB65573 MFX65573 MPT65573 MZP65573 NJL65573 NTH65573 ODD65573 OMZ65573 OWV65573 PGR65573 PQN65573 QAJ65573 QKF65573 QUB65573 RDX65573 RNT65573 RXP65573 SHL65573 SRH65573 TBD65573 TKZ65573 TUV65573 UER65573 UON65573 UYJ65573 VIF65573 VSB65573 WBX65573 WLT65573 WVP65573 H131109 JD131109 SZ131109 ACV131109 AMR131109 AWN131109 BGJ131109 BQF131109 CAB131109 CJX131109 CTT131109 DDP131109 DNL131109 DXH131109 EHD131109 EQZ131109 FAV131109 FKR131109 FUN131109 GEJ131109 GOF131109 GYB131109 HHX131109 HRT131109 IBP131109 ILL131109 IVH131109 JFD131109 JOZ131109 JYV131109 KIR131109 KSN131109 LCJ131109 LMF131109 LWB131109 MFX131109 MPT131109 MZP131109 NJL131109 NTH131109 ODD131109 OMZ131109 OWV131109 PGR131109 PQN131109 QAJ131109 QKF131109 QUB131109 RDX131109 RNT131109 RXP131109 SHL131109 SRH131109 TBD131109 TKZ131109 TUV131109 UER131109 UON131109 UYJ131109 VIF131109 VSB131109 WBX131109 WLT131109 WVP131109 H196645 JD196645 SZ196645 ACV196645 AMR196645 AWN196645 BGJ196645 BQF196645 CAB196645 CJX196645 CTT196645 DDP196645 DNL196645 DXH196645 EHD196645 EQZ196645 FAV196645 FKR196645 FUN196645 GEJ196645 GOF196645 GYB196645 HHX196645 HRT196645 IBP196645 ILL196645 IVH196645 JFD196645 JOZ196645 JYV196645 KIR196645 KSN196645 LCJ196645 LMF196645 LWB196645 MFX196645 MPT196645 MZP196645 NJL196645 NTH196645 ODD196645 OMZ196645 OWV196645 PGR196645 PQN196645 QAJ196645 QKF196645 QUB196645 RDX196645 RNT196645 RXP196645 SHL196645 SRH196645 TBD196645 TKZ196645 TUV196645 UER196645 UON196645 UYJ196645 VIF196645 VSB196645 WBX196645 WLT196645 WVP196645 H262181 JD262181 SZ262181 ACV262181 AMR262181 AWN262181 BGJ262181 BQF262181 CAB262181 CJX262181 CTT262181 DDP262181 DNL262181 DXH262181 EHD262181 EQZ262181 FAV262181 FKR262181 FUN262181 GEJ262181 GOF262181 GYB262181 HHX262181 HRT262181 IBP262181 ILL262181 IVH262181 JFD262181 JOZ262181 JYV262181 KIR262181 KSN262181 LCJ262181 LMF262181 LWB262181 MFX262181 MPT262181 MZP262181 NJL262181 NTH262181 ODD262181 OMZ262181 OWV262181 PGR262181 PQN262181 QAJ262181 QKF262181 QUB262181 RDX262181 RNT262181 RXP262181 SHL262181 SRH262181 TBD262181 TKZ262181 TUV262181 UER262181 UON262181 UYJ262181 VIF262181 VSB262181 WBX262181 WLT262181 WVP262181 H327717 JD327717 SZ327717 ACV327717 AMR327717 AWN327717 BGJ327717 BQF327717 CAB327717 CJX327717 CTT327717 DDP327717 DNL327717 DXH327717 EHD327717 EQZ327717 FAV327717 FKR327717 FUN327717 GEJ327717 GOF327717 GYB327717 HHX327717 HRT327717 IBP327717 ILL327717 IVH327717 JFD327717 JOZ327717 JYV327717 KIR327717 KSN327717 LCJ327717 LMF327717 LWB327717 MFX327717 MPT327717 MZP327717 NJL327717 NTH327717 ODD327717 OMZ327717 OWV327717 PGR327717 PQN327717 QAJ327717 QKF327717 QUB327717 RDX327717 RNT327717 RXP327717 SHL327717 SRH327717 TBD327717 TKZ327717 TUV327717 UER327717 UON327717 UYJ327717 VIF327717 VSB327717 WBX327717 WLT327717 WVP327717 H393253 JD393253 SZ393253 ACV393253 AMR393253 AWN393253 BGJ393253 BQF393253 CAB393253 CJX393253 CTT393253 DDP393253 DNL393253 DXH393253 EHD393253 EQZ393253 FAV393253 FKR393253 FUN393253 GEJ393253 GOF393253 GYB393253 HHX393253 HRT393253 IBP393253 ILL393253 IVH393253 JFD393253 JOZ393253 JYV393253 KIR393253 KSN393253 LCJ393253 LMF393253 LWB393253 MFX393253 MPT393253 MZP393253 NJL393253 NTH393253 ODD393253 OMZ393253 OWV393253 PGR393253 PQN393253 QAJ393253 QKF393253 QUB393253 RDX393253 RNT393253 RXP393253 SHL393253 SRH393253 TBD393253 TKZ393253 TUV393253 UER393253 UON393253 UYJ393253 VIF393253 VSB393253 WBX393253 WLT393253 WVP393253 H458789 JD458789 SZ458789 ACV458789 AMR458789 AWN458789 BGJ458789 BQF458789 CAB458789 CJX458789 CTT458789 DDP458789 DNL458789 DXH458789 EHD458789 EQZ458789 FAV458789 FKR458789 FUN458789 GEJ458789 GOF458789 GYB458789 HHX458789 HRT458789 IBP458789 ILL458789 IVH458789 JFD458789 JOZ458789 JYV458789 KIR458789 KSN458789 LCJ458789 LMF458789 LWB458789 MFX458789 MPT458789 MZP458789 NJL458789 NTH458789 ODD458789 OMZ458789 OWV458789 PGR458789 PQN458789 QAJ458789 QKF458789 QUB458789 RDX458789 RNT458789 RXP458789 SHL458789 SRH458789 TBD458789 TKZ458789 TUV458789 UER458789 UON458789 UYJ458789 VIF458789 VSB458789 WBX458789 WLT458789 WVP458789 H524325 JD524325 SZ524325 ACV524325 AMR524325 AWN524325 BGJ524325 BQF524325 CAB524325 CJX524325 CTT524325 DDP524325 DNL524325 DXH524325 EHD524325 EQZ524325 FAV524325 FKR524325 FUN524325 GEJ524325 GOF524325 GYB524325 HHX524325 HRT524325 IBP524325 ILL524325 IVH524325 JFD524325 JOZ524325 JYV524325 KIR524325 KSN524325 LCJ524325 LMF524325 LWB524325 MFX524325 MPT524325 MZP524325 NJL524325 NTH524325 ODD524325 OMZ524325 OWV524325 PGR524325 PQN524325 QAJ524325 QKF524325 QUB524325 RDX524325 RNT524325 RXP524325 SHL524325 SRH524325 TBD524325 TKZ524325 TUV524325 UER524325 UON524325 UYJ524325 VIF524325 VSB524325 WBX524325 WLT524325 WVP524325 H589861 JD589861 SZ589861 ACV589861 AMR589861 AWN589861 BGJ589861 BQF589861 CAB589861 CJX589861 CTT589861 DDP589861 DNL589861 DXH589861 EHD589861 EQZ589861 FAV589861 FKR589861 FUN589861 GEJ589861 GOF589861 GYB589861 HHX589861 HRT589861 IBP589861 ILL589861 IVH589861 JFD589861 JOZ589861 JYV589861 KIR589861 KSN589861 LCJ589861 LMF589861 LWB589861 MFX589861 MPT589861 MZP589861 NJL589861 NTH589861 ODD589861 OMZ589861 OWV589861 PGR589861 PQN589861 QAJ589861 QKF589861 QUB589861 RDX589861 RNT589861 RXP589861 SHL589861 SRH589861 TBD589861 TKZ589861 TUV589861 UER589861 UON589861 UYJ589861 VIF589861 VSB589861 WBX589861 WLT589861 WVP589861 H655397 JD655397 SZ655397 ACV655397 AMR655397 AWN655397 BGJ655397 BQF655397 CAB655397 CJX655397 CTT655397 DDP655397 DNL655397 DXH655397 EHD655397 EQZ655397 FAV655397 FKR655397 FUN655397 GEJ655397 GOF655397 GYB655397 HHX655397 HRT655397 IBP655397 ILL655397 IVH655397 JFD655397 JOZ655397 JYV655397 KIR655397 KSN655397 LCJ655397 LMF655397 LWB655397 MFX655397 MPT655397 MZP655397 NJL655397 NTH655397 ODD655397 OMZ655397 OWV655397 PGR655397 PQN655397 QAJ655397 QKF655397 QUB655397 RDX655397 RNT655397 RXP655397 SHL655397 SRH655397 TBD655397 TKZ655397 TUV655397 UER655397 UON655397 UYJ655397 VIF655397 VSB655397 WBX655397 WLT655397 WVP655397 H720933 JD720933 SZ720933 ACV720933 AMR720933 AWN720933 BGJ720933 BQF720933 CAB720933 CJX720933 CTT720933 DDP720933 DNL720933 DXH720933 EHD720933 EQZ720933 FAV720933 FKR720933 FUN720933 GEJ720933 GOF720933 GYB720933 HHX720933 HRT720933 IBP720933 ILL720933 IVH720933 JFD720933 JOZ720933 JYV720933 KIR720933 KSN720933 LCJ720933 LMF720933 LWB720933 MFX720933 MPT720933 MZP720933 NJL720933 NTH720933 ODD720933 OMZ720933 OWV720933 PGR720933 PQN720933 QAJ720933 QKF720933 QUB720933 RDX720933 RNT720933 RXP720933 SHL720933 SRH720933 TBD720933 TKZ720933 TUV720933 UER720933 UON720933 UYJ720933 VIF720933 VSB720933 WBX720933 WLT720933 WVP720933 H786469 JD786469 SZ786469 ACV786469 AMR786469 AWN786469 BGJ786469 BQF786469 CAB786469 CJX786469 CTT786469 DDP786469 DNL786469 DXH786469 EHD786469 EQZ786469 FAV786469 FKR786469 FUN786469 GEJ786469 GOF786469 GYB786469 HHX786469 HRT786469 IBP786469 ILL786469 IVH786469 JFD786469 JOZ786469 JYV786469 KIR786469 KSN786469 LCJ786469 LMF786469 LWB786469 MFX786469 MPT786469 MZP786469 NJL786469 NTH786469 ODD786469 OMZ786469 OWV786469 PGR786469 PQN786469 QAJ786469 QKF786469 QUB786469 RDX786469 RNT786469 RXP786469 SHL786469 SRH786469 TBD786469 TKZ786469 TUV786469 UER786469 UON786469 UYJ786469 VIF786469 VSB786469 WBX786469 WLT786469 WVP786469 H852005 JD852005 SZ852005 ACV852005 AMR852005 AWN852005 BGJ852005 BQF852005 CAB852005 CJX852005 CTT852005 DDP852005 DNL852005 DXH852005 EHD852005 EQZ852005 FAV852005 FKR852005 FUN852005 GEJ852005 GOF852005 GYB852005 HHX852005 HRT852005 IBP852005 ILL852005 IVH852005 JFD852005 JOZ852005 JYV852005 KIR852005 KSN852005 LCJ852005 LMF852005 LWB852005 MFX852005 MPT852005 MZP852005 NJL852005 NTH852005 ODD852005 OMZ852005 OWV852005 PGR852005 PQN852005 QAJ852005 QKF852005 QUB852005 RDX852005 RNT852005 RXP852005 SHL852005 SRH852005 TBD852005 TKZ852005 TUV852005 UER852005 UON852005 UYJ852005 VIF852005 VSB852005 WBX852005 WLT852005 WVP852005 H917541 JD917541 SZ917541 ACV917541 AMR917541 AWN917541 BGJ917541 BQF917541 CAB917541 CJX917541 CTT917541 DDP917541 DNL917541 DXH917541 EHD917541 EQZ917541 FAV917541 FKR917541 FUN917541 GEJ917541 GOF917541 GYB917541 HHX917541 HRT917541 IBP917541 ILL917541 IVH917541 JFD917541 JOZ917541 JYV917541 KIR917541 KSN917541 LCJ917541 LMF917541 LWB917541 MFX917541 MPT917541 MZP917541 NJL917541 NTH917541 ODD917541 OMZ917541 OWV917541 PGR917541 PQN917541 QAJ917541 QKF917541 QUB917541 RDX917541 RNT917541 RXP917541 SHL917541 SRH917541 TBD917541 TKZ917541 TUV917541 UER917541 UON917541 UYJ917541 VIF917541 VSB917541 WBX917541 WLT917541 WVP917541 H983077 JD983077 SZ983077 ACV983077 AMR983077 AWN983077 BGJ983077 BQF983077 CAB983077 CJX983077 CTT983077 DDP983077 DNL983077 DXH983077 EHD983077 EQZ983077 FAV983077 FKR983077 FUN983077 GEJ983077 GOF983077 GYB983077 HHX983077 HRT983077 IBP983077 ILL983077 IVH983077 JFD983077 JOZ983077 JYV983077 KIR983077 KSN983077 LCJ983077 LMF983077 LWB983077 MFX983077 MPT983077 MZP983077 NJL983077 NTH983077 ODD983077 OMZ983077 OWV983077 PGR983077 PQN983077 QAJ983077 QKF983077 QUB983077 RDX983077 RNT983077 RXP983077 SHL983077 SRH983077 TBD983077 TKZ983077 TUV983077 UER983077 UON983077 UYJ983077 VIF983077 VSB983077 WBX983077 WLT983077 WVP983077">
      <formula1>$H$38:$H$42</formula1>
    </dataValidation>
    <dataValidation type="list" allowBlank="1" showInputMessage="1" showErrorMessage="1" sqref="E35 JA35 SW35 ACS35 AMO35 AWK35 BGG35 BQC35 BZY35 CJU35 CTQ35 DDM35 DNI35 DXE35 EHA35 EQW35 FAS35 FKO35 FUK35 GEG35 GOC35 GXY35 HHU35 HRQ35 IBM35 ILI35 IVE35 JFA35 JOW35 JYS35 KIO35 KSK35 LCG35 LMC35 LVY35 MFU35 MPQ35 MZM35 NJI35 NTE35 ODA35 OMW35 OWS35 PGO35 PQK35 QAG35 QKC35 QTY35 RDU35 RNQ35 RXM35 SHI35 SRE35 TBA35 TKW35 TUS35 UEO35 UOK35 UYG35 VIC35 VRY35 WBU35 WLQ35 WVM35 E65571 JA65571 SW65571 ACS65571 AMO65571 AWK65571 BGG65571 BQC65571 BZY65571 CJU65571 CTQ65571 DDM65571 DNI65571 DXE65571 EHA65571 EQW65571 FAS65571 FKO65571 FUK65571 GEG65571 GOC65571 GXY65571 HHU65571 HRQ65571 IBM65571 ILI65571 IVE65571 JFA65571 JOW65571 JYS65571 KIO65571 KSK65571 LCG65571 LMC65571 LVY65571 MFU65571 MPQ65571 MZM65571 NJI65571 NTE65571 ODA65571 OMW65571 OWS65571 PGO65571 PQK65571 QAG65571 QKC65571 QTY65571 RDU65571 RNQ65571 RXM65571 SHI65571 SRE65571 TBA65571 TKW65571 TUS65571 UEO65571 UOK65571 UYG65571 VIC65571 VRY65571 WBU65571 WLQ65571 WVM65571 E131107 JA131107 SW131107 ACS131107 AMO131107 AWK131107 BGG131107 BQC131107 BZY131107 CJU131107 CTQ131107 DDM131107 DNI131107 DXE131107 EHA131107 EQW131107 FAS131107 FKO131107 FUK131107 GEG131107 GOC131107 GXY131107 HHU131107 HRQ131107 IBM131107 ILI131107 IVE131107 JFA131107 JOW131107 JYS131107 KIO131107 KSK131107 LCG131107 LMC131107 LVY131107 MFU131107 MPQ131107 MZM131107 NJI131107 NTE131107 ODA131107 OMW131107 OWS131107 PGO131107 PQK131107 QAG131107 QKC131107 QTY131107 RDU131107 RNQ131107 RXM131107 SHI131107 SRE131107 TBA131107 TKW131107 TUS131107 UEO131107 UOK131107 UYG131107 VIC131107 VRY131107 WBU131107 WLQ131107 WVM131107 E196643 JA196643 SW196643 ACS196643 AMO196643 AWK196643 BGG196643 BQC196643 BZY196643 CJU196643 CTQ196643 DDM196643 DNI196643 DXE196643 EHA196643 EQW196643 FAS196643 FKO196643 FUK196643 GEG196643 GOC196643 GXY196643 HHU196643 HRQ196643 IBM196643 ILI196643 IVE196643 JFA196643 JOW196643 JYS196643 KIO196643 KSK196643 LCG196643 LMC196643 LVY196643 MFU196643 MPQ196643 MZM196643 NJI196643 NTE196643 ODA196643 OMW196643 OWS196643 PGO196643 PQK196643 QAG196643 QKC196643 QTY196643 RDU196643 RNQ196643 RXM196643 SHI196643 SRE196643 TBA196643 TKW196643 TUS196643 UEO196643 UOK196643 UYG196643 VIC196643 VRY196643 WBU196643 WLQ196643 WVM196643 E262179 JA262179 SW262179 ACS262179 AMO262179 AWK262179 BGG262179 BQC262179 BZY262179 CJU262179 CTQ262179 DDM262179 DNI262179 DXE262179 EHA262179 EQW262179 FAS262179 FKO262179 FUK262179 GEG262179 GOC262179 GXY262179 HHU262179 HRQ262179 IBM262179 ILI262179 IVE262179 JFA262179 JOW262179 JYS262179 KIO262179 KSK262179 LCG262179 LMC262179 LVY262179 MFU262179 MPQ262179 MZM262179 NJI262179 NTE262179 ODA262179 OMW262179 OWS262179 PGO262179 PQK262179 QAG262179 QKC262179 QTY262179 RDU262179 RNQ262179 RXM262179 SHI262179 SRE262179 TBA262179 TKW262179 TUS262179 UEO262179 UOK262179 UYG262179 VIC262179 VRY262179 WBU262179 WLQ262179 WVM262179 E327715 JA327715 SW327715 ACS327715 AMO327715 AWK327715 BGG327715 BQC327715 BZY327715 CJU327715 CTQ327715 DDM327715 DNI327715 DXE327715 EHA327715 EQW327715 FAS327715 FKO327715 FUK327715 GEG327715 GOC327715 GXY327715 HHU327715 HRQ327715 IBM327715 ILI327715 IVE327715 JFA327715 JOW327715 JYS327715 KIO327715 KSK327715 LCG327715 LMC327715 LVY327715 MFU327715 MPQ327715 MZM327715 NJI327715 NTE327715 ODA327715 OMW327715 OWS327715 PGO327715 PQK327715 QAG327715 QKC327715 QTY327715 RDU327715 RNQ327715 RXM327715 SHI327715 SRE327715 TBA327715 TKW327715 TUS327715 UEO327715 UOK327715 UYG327715 VIC327715 VRY327715 WBU327715 WLQ327715 WVM327715 E393251 JA393251 SW393251 ACS393251 AMO393251 AWK393251 BGG393251 BQC393251 BZY393251 CJU393251 CTQ393251 DDM393251 DNI393251 DXE393251 EHA393251 EQW393251 FAS393251 FKO393251 FUK393251 GEG393251 GOC393251 GXY393251 HHU393251 HRQ393251 IBM393251 ILI393251 IVE393251 JFA393251 JOW393251 JYS393251 KIO393251 KSK393251 LCG393251 LMC393251 LVY393251 MFU393251 MPQ393251 MZM393251 NJI393251 NTE393251 ODA393251 OMW393251 OWS393251 PGO393251 PQK393251 QAG393251 QKC393251 QTY393251 RDU393251 RNQ393251 RXM393251 SHI393251 SRE393251 TBA393251 TKW393251 TUS393251 UEO393251 UOK393251 UYG393251 VIC393251 VRY393251 WBU393251 WLQ393251 WVM393251 E458787 JA458787 SW458787 ACS458787 AMO458787 AWK458787 BGG458787 BQC458787 BZY458787 CJU458787 CTQ458787 DDM458787 DNI458787 DXE458787 EHA458787 EQW458787 FAS458787 FKO458787 FUK458787 GEG458787 GOC458787 GXY458787 HHU458787 HRQ458787 IBM458787 ILI458787 IVE458787 JFA458787 JOW458787 JYS458787 KIO458787 KSK458787 LCG458787 LMC458787 LVY458787 MFU458787 MPQ458787 MZM458787 NJI458787 NTE458787 ODA458787 OMW458787 OWS458787 PGO458787 PQK458787 QAG458787 QKC458787 QTY458787 RDU458787 RNQ458787 RXM458787 SHI458787 SRE458787 TBA458787 TKW458787 TUS458787 UEO458787 UOK458787 UYG458787 VIC458787 VRY458787 WBU458787 WLQ458787 WVM458787 E524323 JA524323 SW524323 ACS524323 AMO524323 AWK524323 BGG524323 BQC524323 BZY524323 CJU524323 CTQ524323 DDM524323 DNI524323 DXE524323 EHA524323 EQW524323 FAS524323 FKO524323 FUK524323 GEG524323 GOC524323 GXY524323 HHU524323 HRQ524323 IBM524323 ILI524323 IVE524323 JFA524323 JOW524323 JYS524323 KIO524323 KSK524323 LCG524323 LMC524323 LVY524323 MFU524323 MPQ524323 MZM524323 NJI524323 NTE524323 ODA524323 OMW524323 OWS524323 PGO524323 PQK524323 QAG524323 QKC524323 QTY524323 RDU524323 RNQ524323 RXM524323 SHI524323 SRE524323 TBA524323 TKW524323 TUS524323 UEO524323 UOK524323 UYG524323 VIC524323 VRY524323 WBU524323 WLQ524323 WVM524323 E589859 JA589859 SW589859 ACS589859 AMO589859 AWK589859 BGG589859 BQC589859 BZY589859 CJU589859 CTQ589859 DDM589859 DNI589859 DXE589859 EHA589859 EQW589859 FAS589859 FKO589859 FUK589859 GEG589859 GOC589859 GXY589859 HHU589859 HRQ589859 IBM589859 ILI589859 IVE589859 JFA589859 JOW589859 JYS589859 KIO589859 KSK589859 LCG589859 LMC589859 LVY589859 MFU589859 MPQ589859 MZM589859 NJI589859 NTE589859 ODA589859 OMW589859 OWS589859 PGO589859 PQK589859 QAG589859 QKC589859 QTY589859 RDU589859 RNQ589859 RXM589859 SHI589859 SRE589859 TBA589859 TKW589859 TUS589859 UEO589859 UOK589859 UYG589859 VIC589859 VRY589859 WBU589859 WLQ589859 WVM589859 E655395 JA655395 SW655395 ACS655395 AMO655395 AWK655395 BGG655395 BQC655395 BZY655395 CJU655395 CTQ655395 DDM655395 DNI655395 DXE655395 EHA655395 EQW655395 FAS655395 FKO655395 FUK655395 GEG655395 GOC655395 GXY655395 HHU655395 HRQ655395 IBM655395 ILI655395 IVE655395 JFA655395 JOW655395 JYS655395 KIO655395 KSK655395 LCG655395 LMC655395 LVY655395 MFU655395 MPQ655395 MZM655395 NJI655395 NTE655395 ODA655395 OMW655395 OWS655395 PGO655395 PQK655395 QAG655395 QKC655395 QTY655395 RDU655395 RNQ655395 RXM655395 SHI655395 SRE655395 TBA655395 TKW655395 TUS655395 UEO655395 UOK655395 UYG655395 VIC655395 VRY655395 WBU655395 WLQ655395 WVM655395 E720931 JA720931 SW720931 ACS720931 AMO720931 AWK720931 BGG720931 BQC720931 BZY720931 CJU720931 CTQ720931 DDM720931 DNI720931 DXE720931 EHA720931 EQW720931 FAS720931 FKO720931 FUK720931 GEG720931 GOC720931 GXY720931 HHU720931 HRQ720931 IBM720931 ILI720931 IVE720931 JFA720931 JOW720931 JYS720931 KIO720931 KSK720931 LCG720931 LMC720931 LVY720931 MFU720931 MPQ720931 MZM720931 NJI720931 NTE720931 ODA720931 OMW720931 OWS720931 PGO720931 PQK720931 QAG720931 QKC720931 QTY720931 RDU720931 RNQ720931 RXM720931 SHI720931 SRE720931 TBA720931 TKW720931 TUS720931 UEO720931 UOK720931 UYG720931 VIC720931 VRY720931 WBU720931 WLQ720931 WVM720931 E786467 JA786467 SW786467 ACS786467 AMO786467 AWK786467 BGG786467 BQC786467 BZY786467 CJU786467 CTQ786467 DDM786467 DNI786467 DXE786467 EHA786467 EQW786467 FAS786467 FKO786467 FUK786467 GEG786467 GOC786467 GXY786467 HHU786467 HRQ786467 IBM786467 ILI786467 IVE786467 JFA786467 JOW786467 JYS786467 KIO786467 KSK786467 LCG786467 LMC786467 LVY786467 MFU786467 MPQ786467 MZM786467 NJI786467 NTE786467 ODA786467 OMW786467 OWS786467 PGO786467 PQK786467 QAG786467 QKC786467 QTY786467 RDU786467 RNQ786467 RXM786467 SHI786467 SRE786467 TBA786467 TKW786467 TUS786467 UEO786467 UOK786467 UYG786467 VIC786467 VRY786467 WBU786467 WLQ786467 WVM786467 E852003 JA852003 SW852003 ACS852003 AMO852003 AWK852003 BGG852003 BQC852003 BZY852003 CJU852003 CTQ852003 DDM852003 DNI852003 DXE852003 EHA852003 EQW852003 FAS852003 FKO852003 FUK852003 GEG852003 GOC852003 GXY852003 HHU852003 HRQ852003 IBM852003 ILI852003 IVE852003 JFA852003 JOW852003 JYS852003 KIO852003 KSK852003 LCG852003 LMC852003 LVY852003 MFU852003 MPQ852003 MZM852003 NJI852003 NTE852003 ODA852003 OMW852003 OWS852003 PGO852003 PQK852003 QAG852003 QKC852003 QTY852003 RDU852003 RNQ852003 RXM852003 SHI852003 SRE852003 TBA852003 TKW852003 TUS852003 UEO852003 UOK852003 UYG852003 VIC852003 VRY852003 WBU852003 WLQ852003 WVM852003 E917539 JA917539 SW917539 ACS917539 AMO917539 AWK917539 BGG917539 BQC917539 BZY917539 CJU917539 CTQ917539 DDM917539 DNI917539 DXE917539 EHA917539 EQW917539 FAS917539 FKO917539 FUK917539 GEG917539 GOC917539 GXY917539 HHU917539 HRQ917539 IBM917539 ILI917539 IVE917539 JFA917539 JOW917539 JYS917539 KIO917539 KSK917539 LCG917539 LMC917539 LVY917539 MFU917539 MPQ917539 MZM917539 NJI917539 NTE917539 ODA917539 OMW917539 OWS917539 PGO917539 PQK917539 QAG917539 QKC917539 QTY917539 RDU917539 RNQ917539 RXM917539 SHI917539 SRE917539 TBA917539 TKW917539 TUS917539 UEO917539 UOK917539 UYG917539 VIC917539 VRY917539 WBU917539 WLQ917539 WVM917539 E983075 JA983075 SW983075 ACS983075 AMO983075 AWK983075 BGG983075 BQC983075 BZY983075 CJU983075 CTQ983075 DDM983075 DNI983075 DXE983075 EHA983075 EQW983075 FAS983075 FKO983075 FUK983075 GEG983075 GOC983075 GXY983075 HHU983075 HRQ983075 IBM983075 ILI983075 IVE983075 JFA983075 JOW983075 JYS983075 KIO983075 KSK983075 LCG983075 LMC983075 LVY983075 MFU983075 MPQ983075 MZM983075 NJI983075 NTE983075 ODA983075 OMW983075 OWS983075 PGO983075 PQK983075 QAG983075 QKC983075 QTY983075 RDU983075 RNQ983075 RXM983075 SHI983075 SRE983075 TBA983075 TKW983075 TUS983075 UEO983075 UOK983075 UYG983075 VIC983075 VRY983075 WBU983075 WLQ983075 WVM983075 E38 JA38 SW38 ACS38 AMO38 AWK38 BGG38 BQC38 BZY38 CJU38 CTQ38 DDM38 DNI38 DXE38 EHA38 EQW38 FAS38 FKO38 FUK38 GEG38 GOC38 GXY38 HHU38 HRQ38 IBM38 ILI38 IVE38 JFA38 JOW38 JYS38 KIO38 KSK38 LCG38 LMC38 LVY38 MFU38 MPQ38 MZM38 NJI38 NTE38 ODA38 OMW38 OWS38 PGO38 PQK38 QAG38 QKC38 QTY38 RDU38 RNQ38 RXM38 SHI38 SRE38 TBA38 TKW38 TUS38 UEO38 UOK38 UYG38 VIC38 VRY38 WBU38 WLQ38 WVM38 E65574 JA65574 SW65574 ACS65574 AMO65574 AWK65574 BGG65574 BQC65574 BZY65574 CJU65574 CTQ65574 DDM65574 DNI65574 DXE65574 EHA65574 EQW65574 FAS65574 FKO65574 FUK65574 GEG65574 GOC65574 GXY65574 HHU65574 HRQ65574 IBM65574 ILI65574 IVE65574 JFA65574 JOW65574 JYS65574 KIO65574 KSK65574 LCG65574 LMC65574 LVY65574 MFU65574 MPQ65574 MZM65574 NJI65574 NTE65574 ODA65574 OMW65574 OWS65574 PGO65574 PQK65574 QAG65574 QKC65574 QTY65574 RDU65574 RNQ65574 RXM65574 SHI65574 SRE65574 TBA65574 TKW65574 TUS65574 UEO65574 UOK65574 UYG65574 VIC65574 VRY65574 WBU65574 WLQ65574 WVM65574 E131110 JA131110 SW131110 ACS131110 AMO131110 AWK131110 BGG131110 BQC131110 BZY131110 CJU131110 CTQ131110 DDM131110 DNI131110 DXE131110 EHA131110 EQW131110 FAS131110 FKO131110 FUK131110 GEG131110 GOC131110 GXY131110 HHU131110 HRQ131110 IBM131110 ILI131110 IVE131110 JFA131110 JOW131110 JYS131110 KIO131110 KSK131110 LCG131110 LMC131110 LVY131110 MFU131110 MPQ131110 MZM131110 NJI131110 NTE131110 ODA131110 OMW131110 OWS131110 PGO131110 PQK131110 QAG131110 QKC131110 QTY131110 RDU131110 RNQ131110 RXM131110 SHI131110 SRE131110 TBA131110 TKW131110 TUS131110 UEO131110 UOK131110 UYG131110 VIC131110 VRY131110 WBU131110 WLQ131110 WVM131110 E196646 JA196646 SW196646 ACS196646 AMO196646 AWK196646 BGG196646 BQC196646 BZY196646 CJU196646 CTQ196646 DDM196646 DNI196646 DXE196646 EHA196646 EQW196646 FAS196646 FKO196646 FUK196646 GEG196646 GOC196646 GXY196646 HHU196646 HRQ196646 IBM196646 ILI196646 IVE196646 JFA196646 JOW196646 JYS196646 KIO196646 KSK196646 LCG196646 LMC196646 LVY196646 MFU196646 MPQ196646 MZM196646 NJI196646 NTE196646 ODA196646 OMW196646 OWS196646 PGO196646 PQK196646 QAG196646 QKC196646 QTY196646 RDU196646 RNQ196646 RXM196646 SHI196646 SRE196646 TBA196646 TKW196646 TUS196646 UEO196646 UOK196646 UYG196646 VIC196646 VRY196646 WBU196646 WLQ196646 WVM196646 E262182 JA262182 SW262182 ACS262182 AMO262182 AWK262182 BGG262182 BQC262182 BZY262182 CJU262182 CTQ262182 DDM262182 DNI262182 DXE262182 EHA262182 EQW262182 FAS262182 FKO262182 FUK262182 GEG262182 GOC262182 GXY262182 HHU262182 HRQ262182 IBM262182 ILI262182 IVE262182 JFA262182 JOW262182 JYS262182 KIO262182 KSK262182 LCG262182 LMC262182 LVY262182 MFU262182 MPQ262182 MZM262182 NJI262182 NTE262182 ODA262182 OMW262182 OWS262182 PGO262182 PQK262182 QAG262182 QKC262182 QTY262182 RDU262182 RNQ262182 RXM262182 SHI262182 SRE262182 TBA262182 TKW262182 TUS262182 UEO262182 UOK262182 UYG262182 VIC262182 VRY262182 WBU262182 WLQ262182 WVM262182 E327718 JA327718 SW327718 ACS327718 AMO327718 AWK327718 BGG327718 BQC327718 BZY327718 CJU327718 CTQ327718 DDM327718 DNI327718 DXE327718 EHA327718 EQW327718 FAS327718 FKO327718 FUK327718 GEG327718 GOC327718 GXY327718 HHU327718 HRQ327718 IBM327718 ILI327718 IVE327718 JFA327718 JOW327718 JYS327718 KIO327718 KSK327718 LCG327718 LMC327718 LVY327718 MFU327718 MPQ327718 MZM327718 NJI327718 NTE327718 ODA327718 OMW327718 OWS327718 PGO327718 PQK327718 QAG327718 QKC327718 QTY327718 RDU327718 RNQ327718 RXM327718 SHI327718 SRE327718 TBA327718 TKW327718 TUS327718 UEO327718 UOK327718 UYG327718 VIC327718 VRY327718 WBU327718 WLQ327718 WVM327718 E393254 JA393254 SW393254 ACS393254 AMO393254 AWK393254 BGG393254 BQC393254 BZY393254 CJU393254 CTQ393254 DDM393254 DNI393254 DXE393254 EHA393254 EQW393254 FAS393254 FKO393254 FUK393254 GEG393254 GOC393254 GXY393254 HHU393254 HRQ393254 IBM393254 ILI393254 IVE393254 JFA393254 JOW393254 JYS393254 KIO393254 KSK393254 LCG393254 LMC393254 LVY393254 MFU393254 MPQ393254 MZM393254 NJI393254 NTE393254 ODA393254 OMW393254 OWS393254 PGO393254 PQK393254 QAG393254 QKC393254 QTY393254 RDU393254 RNQ393254 RXM393254 SHI393254 SRE393254 TBA393254 TKW393254 TUS393254 UEO393254 UOK393254 UYG393254 VIC393254 VRY393254 WBU393254 WLQ393254 WVM393254 E458790 JA458790 SW458790 ACS458790 AMO458790 AWK458790 BGG458790 BQC458790 BZY458790 CJU458790 CTQ458790 DDM458790 DNI458790 DXE458790 EHA458790 EQW458790 FAS458790 FKO458790 FUK458790 GEG458790 GOC458790 GXY458790 HHU458790 HRQ458790 IBM458790 ILI458790 IVE458790 JFA458790 JOW458790 JYS458790 KIO458790 KSK458790 LCG458790 LMC458790 LVY458790 MFU458790 MPQ458790 MZM458790 NJI458790 NTE458790 ODA458790 OMW458790 OWS458790 PGO458790 PQK458790 QAG458790 QKC458790 QTY458790 RDU458790 RNQ458790 RXM458790 SHI458790 SRE458790 TBA458790 TKW458790 TUS458790 UEO458790 UOK458790 UYG458790 VIC458790 VRY458790 WBU458790 WLQ458790 WVM458790 E524326 JA524326 SW524326 ACS524326 AMO524326 AWK524326 BGG524326 BQC524326 BZY524326 CJU524326 CTQ524326 DDM524326 DNI524326 DXE524326 EHA524326 EQW524326 FAS524326 FKO524326 FUK524326 GEG524326 GOC524326 GXY524326 HHU524326 HRQ524326 IBM524326 ILI524326 IVE524326 JFA524326 JOW524326 JYS524326 KIO524326 KSK524326 LCG524326 LMC524326 LVY524326 MFU524326 MPQ524326 MZM524326 NJI524326 NTE524326 ODA524326 OMW524326 OWS524326 PGO524326 PQK524326 QAG524326 QKC524326 QTY524326 RDU524326 RNQ524326 RXM524326 SHI524326 SRE524326 TBA524326 TKW524326 TUS524326 UEO524326 UOK524326 UYG524326 VIC524326 VRY524326 WBU524326 WLQ524326 WVM524326 E589862 JA589862 SW589862 ACS589862 AMO589862 AWK589862 BGG589862 BQC589862 BZY589862 CJU589862 CTQ589862 DDM589862 DNI589862 DXE589862 EHA589862 EQW589862 FAS589862 FKO589862 FUK589862 GEG589862 GOC589862 GXY589862 HHU589862 HRQ589862 IBM589862 ILI589862 IVE589862 JFA589862 JOW589862 JYS589862 KIO589862 KSK589862 LCG589862 LMC589862 LVY589862 MFU589862 MPQ589862 MZM589862 NJI589862 NTE589862 ODA589862 OMW589862 OWS589862 PGO589862 PQK589862 QAG589862 QKC589862 QTY589862 RDU589862 RNQ589862 RXM589862 SHI589862 SRE589862 TBA589862 TKW589862 TUS589862 UEO589862 UOK589862 UYG589862 VIC589862 VRY589862 WBU589862 WLQ589862 WVM589862 E655398 JA655398 SW655398 ACS655398 AMO655398 AWK655398 BGG655398 BQC655398 BZY655398 CJU655398 CTQ655398 DDM655398 DNI655398 DXE655398 EHA655398 EQW655398 FAS655398 FKO655398 FUK655398 GEG655398 GOC655398 GXY655398 HHU655398 HRQ655398 IBM655398 ILI655398 IVE655398 JFA655398 JOW655398 JYS655398 KIO655398 KSK655398 LCG655398 LMC655398 LVY655398 MFU655398 MPQ655398 MZM655398 NJI655398 NTE655398 ODA655398 OMW655398 OWS655398 PGO655398 PQK655398 QAG655398 QKC655398 QTY655398 RDU655398 RNQ655398 RXM655398 SHI655398 SRE655398 TBA655398 TKW655398 TUS655398 UEO655398 UOK655398 UYG655398 VIC655398 VRY655398 WBU655398 WLQ655398 WVM655398 E720934 JA720934 SW720934 ACS720934 AMO720934 AWK720934 BGG720934 BQC720934 BZY720934 CJU720934 CTQ720934 DDM720934 DNI720934 DXE720934 EHA720934 EQW720934 FAS720934 FKO720934 FUK720934 GEG720934 GOC720934 GXY720934 HHU720934 HRQ720934 IBM720934 ILI720934 IVE720934 JFA720934 JOW720934 JYS720934 KIO720934 KSK720934 LCG720934 LMC720934 LVY720934 MFU720934 MPQ720934 MZM720934 NJI720934 NTE720934 ODA720934 OMW720934 OWS720934 PGO720934 PQK720934 QAG720934 QKC720934 QTY720934 RDU720934 RNQ720934 RXM720934 SHI720934 SRE720934 TBA720934 TKW720934 TUS720934 UEO720934 UOK720934 UYG720934 VIC720934 VRY720934 WBU720934 WLQ720934 WVM720934 E786470 JA786470 SW786470 ACS786470 AMO786470 AWK786470 BGG786470 BQC786470 BZY786470 CJU786470 CTQ786470 DDM786470 DNI786470 DXE786470 EHA786470 EQW786470 FAS786470 FKO786470 FUK786470 GEG786470 GOC786470 GXY786470 HHU786470 HRQ786470 IBM786470 ILI786470 IVE786470 JFA786470 JOW786470 JYS786470 KIO786470 KSK786470 LCG786470 LMC786470 LVY786470 MFU786470 MPQ786470 MZM786470 NJI786470 NTE786470 ODA786470 OMW786470 OWS786470 PGO786470 PQK786470 QAG786470 QKC786470 QTY786470 RDU786470 RNQ786470 RXM786470 SHI786470 SRE786470 TBA786470 TKW786470 TUS786470 UEO786470 UOK786470 UYG786470 VIC786470 VRY786470 WBU786470 WLQ786470 WVM786470 E852006 JA852006 SW852006 ACS852006 AMO852006 AWK852006 BGG852006 BQC852006 BZY852006 CJU852006 CTQ852006 DDM852006 DNI852006 DXE852006 EHA852006 EQW852006 FAS852006 FKO852006 FUK852006 GEG852006 GOC852006 GXY852006 HHU852006 HRQ852006 IBM852006 ILI852006 IVE852006 JFA852006 JOW852006 JYS852006 KIO852006 KSK852006 LCG852006 LMC852006 LVY852006 MFU852006 MPQ852006 MZM852006 NJI852006 NTE852006 ODA852006 OMW852006 OWS852006 PGO852006 PQK852006 QAG852006 QKC852006 QTY852006 RDU852006 RNQ852006 RXM852006 SHI852006 SRE852006 TBA852006 TKW852006 TUS852006 UEO852006 UOK852006 UYG852006 VIC852006 VRY852006 WBU852006 WLQ852006 WVM852006 E917542 JA917542 SW917542 ACS917542 AMO917542 AWK917542 BGG917542 BQC917542 BZY917542 CJU917542 CTQ917542 DDM917542 DNI917542 DXE917542 EHA917542 EQW917542 FAS917542 FKO917542 FUK917542 GEG917542 GOC917542 GXY917542 HHU917542 HRQ917542 IBM917542 ILI917542 IVE917542 JFA917542 JOW917542 JYS917542 KIO917542 KSK917542 LCG917542 LMC917542 LVY917542 MFU917542 MPQ917542 MZM917542 NJI917542 NTE917542 ODA917542 OMW917542 OWS917542 PGO917542 PQK917542 QAG917542 QKC917542 QTY917542 RDU917542 RNQ917542 RXM917542 SHI917542 SRE917542 TBA917542 TKW917542 TUS917542 UEO917542 UOK917542 UYG917542 VIC917542 VRY917542 WBU917542 WLQ917542 WVM917542 E983078 JA983078 SW983078 ACS983078 AMO983078 AWK983078 BGG983078 BQC983078 BZY983078 CJU983078 CTQ983078 DDM983078 DNI983078 DXE983078 EHA983078 EQW983078 FAS983078 FKO983078 FUK983078 GEG983078 GOC983078 GXY983078 HHU983078 HRQ983078 IBM983078 ILI983078 IVE983078 JFA983078 JOW983078 JYS983078 KIO983078 KSK983078 LCG983078 LMC983078 LVY983078 MFU983078 MPQ983078 MZM983078 NJI983078 NTE983078 ODA983078 OMW983078 OWS983078 PGO983078 PQK983078 QAG983078 QKC983078 QTY983078 RDU983078 RNQ983078 RXM983078 SHI983078 SRE983078 TBA983078 TKW983078 TUS983078 UEO983078 UOK983078 UYG983078 VIC983078 VRY983078 WBU983078 WLQ983078 WVM983078">
      <formula1>$E$39:$E$47</formula1>
    </dataValidation>
    <dataValidation type="list" allowBlank="1" showInputMessage="1" showErrorMessage="1" sqref="E29 JA29 SW29 ACS29 AMO29 AWK29 BGG29 BQC29 BZY29 CJU29 CTQ29 DDM29 DNI29 DXE29 EHA29 EQW29 FAS29 FKO29 FUK29 GEG29 GOC29 GXY29 HHU29 HRQ29 IBM29 ILI29 IVE29 JFA29 JOW29 JYS29 KIO29 KSK29 LCG29 LMC29 LVY29 MFU29 MPQ29 MZM29 NJI29 NTE29 ODA29 OMW29 OWS29 PGO29 PQK29 QAG29 QKC29 QTY29 RDU29 RNQ29 RXM29 SHI29 SRE29 TBA29 TKW29 TUS29 UEO29 UOK29 UYG29 VIC29 VRY29 WBU29 WLQ29 WVM29 E65565 JA65565 SW65565 ACS65565 AMO65565 AWK65565 BGG65565 BQC65565 BZY65565 CJU65565 CTQ65565 DDM65565 DNI65565 DXE65565 EHA65565 EQW65565 FAS65565 FKO65565 FUK65565 GEG65565 GOC65565 GXY65565 HHU65565 HRQ65565 IBM65565 ILI65565 IVE65565 JFA65565 JOW65565 JYS65565 KIO65565 KSK65565 LCG65565 LMC65565 LVY65565 MFU65565 MPQ65565 MZM65565 NJI65565 NTE65565 ODA65565 OMW65565 OWS65565 PGO65565 PQK65565 QAG65565 QKC65565 QTY65565 RDU65565 RNQ65565 RXM65565 SHI65565 SRE65565 TBA65565 TKW65565 TUS65565 UEO65565 UOK65565 UYG65565 VIC65565 VRY65565 WBU65565 WLQ65565 WVM65565 E131101 JA131101 SW131101 ACS131101 AMO131101 AWK131101 BGG131101 BQC131101 BZY131101 CJU131101 CTQ131101 DDM131101 DNI131101 DXE131101 EHA131101 EQW131101 FAS131101 FKO131101 FUK131101 GEG131101 GOC131101 GXY131101 HHU131101 HRQ131101 IBM131101 ILI131101 IVE131101 JFA131101 JOW131101 JYS131101 KIO131101 KSK131101 LCG131101 LMC131101 LVY131101 MFU131101 MPQ131101 MZM131101 NJI131101 NTE131101 ODA131101 OMW131101 OWS131101 PGO131101 PQK131101 QAG131101 QKC131101 QTY131101 RDU131101 RNQ131101 RXM131101 SHI131101 SRE131101 TBA131101 TKW131101 TUS131101 UEO131101 UOK131101 UYG131101 VIC131101 VRY131101 WBU131101 WLQ131101 WVM131101 E196637 JA196637 SW196637 ACS196637 AMO196637 AWK196637 BGG196637 BQC196637 BZY196637 CJU196637 CTQ196637 DDM196637 DNI196637 DXE196637 EHA196637 EQW196637 FAS196637 FKO196637 FUK196637 GEG196637 GOC196637 GXY196637 HHU196637 HRQ196637 IBM196637 ILI196637 IVE196637 JFA196637 JOW196637 JYS196637 KIO196637 KSK196637 LCG196637 LMC196637 LVY196637 MFU196637 MPQ196637 MZM196637 NJI196637 NTE196637 ODA196637 OMW196637 OWS196637 PGO196637 PQK196637 QAG196637 QKC196637 QTY196637 RDU196637 RNQ196637 RXM196637 SHI196637 SRE196637 TBA196637 TKW196637 TUS196637 UEO196637 UOK196637 UYG196637 VIC196637 VRY196637 WBU196637 WLQ196637 WVM196637 E262173 JA262173 SW262173 ACS262173 AMO262173 AWK262173 BGG262173 BQC262173 BZY262173 CJU262173 CTQ262173 DDM262173 DNI262173 DXE262173 EHA262173 EQW262173 FAS262173 FKO262173 FUK262173 GEG262173 GOC262173 GXY262173 HHU262173 HRQ262173 IBM262173 ILI262173 IVE262173 JFA262173 JOW262173 JYS262173 KIO262173 KSK262173 LCG262173 LMC262173 LVY262173 MFU262173 MPQ262173 MZM262173 NJI262173 NTE262173 ODA262173 OMW262173 OWS262173 PGO262173 PQK262173 QAG262173 QKC262173 QTY262173 RDU262173 RNQ262173 RXM262173 SHI262173 SRE262173 TBA262173 TKW262173 TUS262173 UEO262173 UOK262173 UYG262173 VIC262173 VRY262173 WBU262173 WLQ262173 WVM262173 E327709 JA327709 SW327709 ACS327709 AMO327709 AWK327709 BGG327709 BQC327709 BZY327709 CJU327709 CTQ327709 DDM327709 DNI327709 DXE327709 EHA327709 EQW327709 FAS327709 FKO327709 FUK327709 GEG327709 GOC327709 GXY327709 HHU327709 HRQ327709 IBM327709 ILI327709 IVE327709 JFA327709 JOW327709 JYS327709 KIO327709 KSK327709 LCG327709 LMC327709 LVY327709 MFU327709 MPQ327709 MZM327709 NJI327709 NTE327709 ODA327709 OMW327709 OWS327709 PGO327709 PQK327709 QAG327709 QKC327709 QTY327709 RDU327709 RNQ327709 RXM327709 SHI327709 SRE327709 TBA327709 TKW327709 TUS327709 UEO327709 UOK327709 UYG327709 VIC327709 VRY327709 WBU327709 WLQ327709 WVM327709 E393245 JA393245 SW393245 ACS393245 AMO393245 AWK393245 BGG393245 BQC393245 BZY393245 CJU393245 CTQ393245 DDM393245 DNI393245 DXE393245 EHA393245 EQW393245 FAS393245 FKO393245 FUK393245 GEG393245 GOC393245 GXY393245 HHU393245 HRQ393245 IBM393245 ILI393245 IVE393245 JFA393245 JOW393245 JYS393245 KIO393245 KSK393245 LCG393245 LMC393245 LVY393245 MFU393245 MPQ393245 MZM393245 NJI393245 NTE393245 ODA393245 OMW393245 OWS393245 PGO393245 PQK393245 QAG393245 QKC393245 QTY393245 RDU393245 RNQ393245 RXM393245 SHI393245 SRE393245 TBA393245 TKW393245 TUS393245 UEO393245 UOK393245 UYG393245 VIC393245 VRY393245 WBU393245 WLQ393245 WVM393245 E458781 JA458781 SW458781 ACS458781 AMO458781 AWK458781 BGG458781 BQC458781 BZY458781 CJU458781 CTQ458781 DDM458781 DNI458781 DXE458781 EHA458781 EQW458781 FAS458781 FKO458781 FUK458781 GEG458781 GOC458781 GXY458781 HHU458781 HRQ458781 IBM458781 ILI458781 IVE458781 JFA458781 JOW458781 JYS458781 KIO458781 KSK458781 LCG458781 LMC458781 LVY458781 MFU458781 MPQ458781 MZM458781 NJI458781 NTE458781 ODA458781 OMW458781 OWS458781 PGO458781 PQK458781 QAG458781 QKC458781 QTY458781 RDU458781 RNQ458781 RXM458781 SHI458781 SRE458781 TBA458781 TKW458781 TUS458781 UEO458781 UOK458781 UYG458781 VIC458781 VRY458781 WBU458781 WLQ458781 WVM458781 E524317 JA524317 SW524317 ACS524317 AMO524317 AWK524317 BGG524317 BQC524317 BZY524317 CJU524317 CTQ524317 DDM524317 DNI524317 DXE524317 EHA524317 EQW524317 FAS524317 FKO524317 FUK524317 GEG524317 GOC524317 GXY524317 HHU524317 HRQ524317 IBM524317 ILI524317 IVE524317 JFA524317 JOW524317 JYS524317 KIO524317 KSK524317 LCG524317 LMC524317 LVY524317 MFU524317 MPQ524317 MZM524317 NJI524317 NTE524317 ODA524317 OMW524317 OWS524317 PGO524317 PQK524317 QAG524317 QKC524317 QTY524317 RDU524317 RNQ524317 RXM524317 SHI524317 SRE524317 TBA524317 TKW524317 TUS524317 UEO524317 UOK524317 UYG524317 VIC524317 VRY524317 WBU524317 WLQ524317 WVM524317 E589853 JA589853 SW589853 ACS589853 AMO589853 AWK589853 BGG589853 BQC589853 BZY589853 CJU589853 CTQ589853 DDM589853 DNI589853 DXE589853 EHA589853 EQW589853 FAS589853 FKO589853 FUK589853 GEG589853 GOC589853 GXY589853 HHU589853 HRQ589853 IBM589853 ILI589853 IVE589853 JFA589853 JOW589853 JYS589853 KIO589853 KSK589853 LCG589853 LMC589853 LVY589853 MFU589853 MPQ589853 MZM589853 NJI589853 NTE589853 ODA589853 OMW589853 OWS589853 PGO589853 PQK589853 QAG589853 QKC589853 QTY589853 RDU589853 RNQ589853 RXM589853 SHI589853 SRE589853 TBA589853 TKW589853 TUS589853 UEO589853 UOK589853 UYG589853 VIC589853 VRY589853 WBU589853 WLQ589853 WVM589853 E655389 JA655389 SW655389 ACS655389 AMO655389 AWK655389 BGG655389 BQC655389 BZY655389 CJU655389 CTQ655389 DDM655389 DNI655389 DXE655389 EHA655389 EQW655389 FAS655389 FKO655389 FUK655389 GEG655389 GOC655389 GXY655389 HHU655389 HRQ655389 IBM655389 ILI655389 IVE655389 JFA655389 JOW655389 JYS655389 KIO655389 KSK655389 LCG655389 LMC655389 LVY655389 MFU655389 MPQ655389 MZM655389 NJI655389 NTE655389 ODA655389 OMW655389 OWS655389 PGO655389 PQK655389 QAG655389 QKC655389 QTY655389 RDU655389 RNQ655389 RXM655389 SHI655389 SRE655389 TBA655389 TKW655389 TUS655389 UEO655389 UOK655389 UYG655389 VIC655389 VRY655389 WBU655389 WLQ655389 WVM655389 E720925 JA720925 SW720925 ACS720925 AMO720925 AWK720925 BGG720925 BQC720925 BZY720925 CJU720925 CTQ720925 DDM720925 DNI720925 DXE720925 EHA720925 EQW720925 FAS720925 FKO720925 FUK720925 GEG720925 GOC720925 GXY720925 HHU720925 HRQ720925 IBM720925 ILI720925 IVE720925 JFA720925 JOW720925 JYS720925 KIO720925 KSK720925 LCG720925 LMC720925 LVY720925 MFU720925 MPQ720925 MZM720925 NJI720925 NTE720925 ODA720925 OMW720925 OWS720925 PGO720925 PQK720925 QAG720925 QKC720925 QTY720925 RDU720925 RNQ720925 RXM720925 SHI720925 SRE720925 TBA720925 TKW720925 TUS720925 UEO720925 UOK720925 UYG720925 VIC720925 VRY720925 WBU720925 WLQ720925 WVM720925 E786461 JA786461 SW786461 ACS786461 AMO786461 AWK786461 BGG786461 BQC786461 BZY786461 CJU786461 CTQ786461 DDM786461 DNI786461 DXE786461 EHA786461 EQW786461 FAS786461 FKO786461 FUK786461 GEG786461 GOC786461 GXY786461 HHU786461 HRQ786461 IBM786461 ILI786461 IVE786461 JFA786461 JOW786461 JYS786461 KIO786461 KSK786461 LCG786461 LMC786461 LVY786461 MFU786461 MPQ786461 MZM786461 NJI786461 NTE786461 ODA786461 OMW786461 OWS786461 PGO786461 PQK786461 QAG786461 QKC786461 QTY786461 RDU786461 RNQ786461 RXM786461 SHI786461 SRE786461 TBA786461 TKW786461 TUS786461 UEO786461 UOK786461 UYG786461 VIC786461 VRY786461 WBU786461 WLQ786461 WVM786461 E851997 JA851997 SW851997 ACS851997 AMO851997 AWK851997 BGG851997 BQC851997 BZY851997 CJU851997 CTQ851997 DDM851997 DNI851997 DXE851997 EHA851997 EQW851997 FAS851997 FKO851997 FUK851997 GEG851997 GOC851997 GXY851997 HHU851997 HRQ851997 IBM851997 ILI851997 IVE851997 JFA851997 JOW851997 JYS851997 KIO851997 KSK851997 LCG851997 LMC851997 LVY851997 MFU851997 MPQ851997 MZM851997 NJI851997 NTE851997 ODA851997 OMW851997 OWS851997 PGO851997 PQK851997 QAG851997 QKC851997 QTY851997 RDU851997 RNQ851997 RXM851997 SHI851997 SRE851997 TBA851997 TKW851997 TUS851997 UEO851997 UOK851997 UYG851997 VIC851997 VRY851997 WBU851997 WLQ851997 WVM851997 E917533 JA917533 SW917533 ACS917533 AMO917533 AWK917533 BGG917533 BQC917533 BZY917533 CJU917533 CTQ917533 DDM917533 DNI917533 DXE917533 EHA917533 EQW917533 FAS917533 FKO917533 FUK917533 GEG917533 GOC917533 GXY917533 HHU917533 HRQ917533 IBM917533 ILI917533 IVE917533 JFA917533 JOW917533 JYS917533 KIO917533 KSK917533 LCG917533 LMC917533 LVY917533 MFU917533 MPQ917533 MZM917533 NJI917533 NTE917533 ODA917533 OMW917533 OWS917533 PGO917533 PQK917533 QAG917533 QKC917533 QTY917533 RDU917533 RNQ917533 RXM917533 SHI917533 SRE917533 TBA917533 TKW917533 TUS917533 UEO917533 UOK917533 UYG917533 VIC917533 VRY917533 WBU917533 WLQ917533 WVM917533 E983069 JA983069 SW983069 ACS983069 AMO983069 AWK983069 BGG983069 BQC983069 BZY983069 CJU983069 CTQ983069 DDM983069 DNI983069 DXE983069 EHA983069 EQW983069 FAS983069 FKO983069 FUK983069 GEG983069 GOC983069 GXY983069 HHU983069 HRQ983069 IBM983069 ILI983069 IVE983069 JFA983069 JOW983069 JYS983069 KIO983069 KSK983069 LCG983069 LMC983069 LVY983069 MFU983069 MPQ983069 MZM983069 NJI983069 NTE983069 ODA983069 OMW983069 OWS983069 PGO983069 PQK983069 QAG983069 QKC983069 QTY983069 RDU983069 RNQ983069 RXM983069 SHI983069 SRE983069 TBA983069 TKW983069 TUS983069 UEO983069 UOK983069 UYG983069 VIC983069 VRY983069 WBU983069 WLQ983069 WVM983069">
      <formula1>$G$28:$G$34</formula1>
    </dataValidation>
    <dataValidation type="list" errorStyle="information" allowBlank="1" showInputMessage="1" showErrorMessage="1" error="please input valid number 1-7" sqref="E28 JA28 SW28 ACS28 AMO28 AWK28 BGG28 BQC28 BZY28 CJU28 CTQ28 DDM28 DNI28 DXE28 EHA28 EQW28 FAS28 FKO28 FUK28 GEG28 GOC28 GXY28 HHU28 HRQ28 IBM28 ILI28 IVE28 JFA28 JOW28 JYS28 KIO28 KSK28 LCG28 LMC28 LVY28 MFU28 MPQ28 MZM28 NJI28 NTE28 ODA28 OMW28 OWS28 PGO28 PQK28 QAG28 QKC28 QTY28 RDU28 RNQ28 RXM28 SHI28 SRE28 TBA28 TKW28 TUS28 UEO28 UOK28 UYG28 VIC28 VRY28 WBU28 WLQ28 WVM28 E65564 JA65564 SW65564 ACS65564 AMO65564 AWK65564 BGG65564 BQC65564 BZY65564 CJU65564 CTQ65564 DDM65564 DNI65564 DXE65564 EHA65564 EQW65564 FAS65564 FKO65564 FUK65564 GEG65564 GOC65564 GXY65564 HHU65564 HRQ65564 IBM65564 ILI65564 IVE65564 JFA65564 JOW65564 JYS65564 KIO65564 KSK65564 LCG65564 LMC65564 LVY65564 MFU65564 MPQ65564 MZM65564 NJI65564 NTE65564 ODA65564 OMW65564 OWS65564 PGO65564 PQK65564 QAG65564 QKC65564 QTY65564 RDU65564 RNQ65564 RXM65564 SHI65564 SRE65564 TBA65564 TKW65564 TUS65564 UEO65564 UOK65564 UYG65564 VIC65564 VRY65564 WBU65564 WLQ65564 WVM65564 E131100 JA131100 SW131100 ACS131100 AMO131100 AWK131100 BGG131100 BQC131100 BZY131100 CJU131100 CTQ131100 DDM131100 DNI131100 DXE131100 EHA131100 EQW131100 FAS131100 FKO131100 FUK131100 GEG131100 GOC131100 GXY131100 HHU131100 HRQ131100 IBM131100 ILI131100 IVE131100 JFA131100 JOW131100 JYS131100 KIO131100 KSK131100 LCG131100 LMC131100 LVY131100 MFU131100 MPQ131100 MZM131100 NJI131100 NTE131100 ODA131100 OMW131100 OWS131100 PGO131100 PQK131100 QAG131100 QKC131100 QTY131100 RDU131100 RNQ131100 RXM131100 SHI131100 SRE131100 TBA131100 TKW131100 TUS131100 UEO131100 UOK131100 UYG131100 VIC131100 VRY131100 WBU131100 WLQ131100 WVM131100 E196636 JA196636 SW196636 ACS196636 AMO196636 AWK196636 BGG196636 BQC196636 BZY196636 CJU196636 CTQ196636 DDM196636 DNI196636 DXE196636 EHA196636 EQW196636 FAS196636 FKO196636 FUK196636 GEG196636 GOC196636 GXY196636 HHU196636 HRQ196636 IBM196636 ILI196636 IVE196636 JFA196636 JOW196636 JYS196636 KIO196636 KSK196636 LCG196636 LMC196636 LVY196636 MFU196636 MPQ196636 MZM196636 NJI196636 NTE196636 ODA196636 OMW196636 OWS196636 PGO196636 PQK196636 QAG196636 QKC196636 QTY196636 RDU196636 RNQ196636 RXM196636 SHI196636 SRE196636 TBA196636 TKW196636 TUS196636 UEO196636 UOK196636 UYG196636 VIC196636 VRY196636 WBU196636 WLQ196636 WVM196636 E262172 JA262172 SW262172 ACS262172 AMO262172 AWK262172 BGG262172 BQC262172 BZY262172 CJU262172 CTQ262172 DDM262172 DNI262172 DXE262172 EHA262172 EQW262172 FAS262172 FKO262172 FUK262172 GEG262172 GOC262172 GXY262172 HHU262172 HRQ262172 IBM262172 ILI262172 IVE262172 JFA262172 JOW262172 JYS262172 KIO262172 KSK262172 LCG262172 LMC262172 LVY262172 MFU262172 MPQ262172 MZM262172 NJI262172 NTE262172 ODA262172 OMW262172 OWS262172 PGO262172 PQK262172 QAG262172 QKC262172 QTY262172 RDU262172 RNQ262172 RXM262172 SHI262172 SRE262172 TBA262172 TKW262172 TUS262172 UEO262172 UOK262172 UYG262172 VIC262172 VRY262172 WBU262172 WLQ262172 WVM262172 E327708 JA327708 SW327708 ACS327708 AMO327708 AWK327708 BGG327708 BQC327708 BZY327708 CJU327708 CTQ327708 DDM327708 DNI327708 DXE327708 EHA327708 EQW327708 FAS327708 FKO327708 FUK327708 GEG327708 GOC327708 GXY327708 HHU327708 HRQ327708 IBM327708 ILI327708 IVE327708 JFA327708 JOW327708 JYS327708 KIO327708 KSK327708 LCG327708 LMC327708 LVY327708 MFU327708 MPQ327708 MZM327708 NJI327708 NTE327708 ODA327708 OMW327708 OWS327708 PGO327708 PQK327708 QAG327708 QKC327708 QTY327708 RDU327708 RNQ327708 RXM327708 SHI327708 SRE327708 TBA327708 TKW327708 TUS327708 UEO327708 UOK327708 UYG327708 VIC327708 VRY327708 WBU327708 WLQ327708 WVM327708 E393244 JA393244 SW393244 ACS393244 AMO393244 AWK393244 BGG393244 BQC393244 BZY393244 CJU393244 CTQ393244 DDM393244 DNI393244 DXE393244 EHA393244 EQW393244 FAS393244 FKO393244 FUK393244 GEG393244 GOC393244 GXY393244 HHU393244 HRQ393244 IBM393244 ILI393244 IVE393244 JFA393244 JOW393244 JYS393244 KIO393244 KSK393244 LCG393244 LMC393244 LVY393244 MFU393244 MPQ393244 MZM393244 NJI393244 NTE393244 ODA393244 OMW393244 OWS393244 PGO393244 PQK393244 QAG393244 QKC393244 QTY393244 RDU393244 RNQ393244 RXM393244 SHI393244 SRE393244 TBA393244 TKW393244 TUS393244 UEO393244 UOK393244 UYG393244 VIC393244 VRY393244 WBU393244 WLQ393244 WVM393244 E458780 JA458780 SW458780 ACS458780 AMO458780 AWK458780 BGG458780 BQC458780 BZY458780 CJU458780 CTQ458780 DDM458780 DNI458780 DXE458780 EHA458780 EQW458780 FAS458780 FKO458780 FUK458780 GEG458780 GOC458780 GXY458780 HHU458780 HRQ458780 IBM458780 ILI458780 IVE458780 JFA458780 JOW458780 JYS458780 KIO458780 KSK458780 LCG458780 LMC458780 LVY458780 MFU458780 MPQ458780 MZM458780 NJI458780 NTE458780 ODA458780 OMW458780 OWS458780 PGO458780 PQK458780 QAG458780 QKC458780 QTY458780 RDU458780 RNQ458780 RXM458780 SHI458780 SRE458780 TBA458780 TKW458780 TUS458780 UEO458780 UOK458780 UYG458780 VIC458780 VRY458780 WBU458780 WLQ458780 WVM458780 E524316 JA524316 SW524316 ACS524316 AMO524316 AWK524316 BGG524316 BQC524316 BZY524316 CJU524316 CTQ524316 DDM524316 DNI524316 DXE524316 EHA524316 EQW524316 FAS524316 FKO524316 FUK524316 GEG524316 GOC524316 GXY524316 HHU524316 HRQ524316 IBM524316 ILI524316 IVE524316 JFA524316 JOW524316 JYS524316 KIO524316 KSK524316 LCG524316 LMC524316 LVY524316 MFU524316 MPQ524316 MZM524316 NJI524316 NTE524316 ODA524316 OMW524316 OWS524316 PGO524316 PQK524316 QAG524316 QKC524316 QTY524316 RDU524316 RNQ524316 RXM524316 SHI524316 SRE524316 TBA524316 TKW524316 TUS524316 UEO524316 UOK524316 UYG524316 VIC524316 VRY524316 WBU524316 WLQ524316 WVM524316 E589852 JA589852 SW589852 ACS589852 AMO589852 AWK589852 BGG589852 BQC589852 BZY589852 CJU589852 CTQ589852 DDM589852 DNI589852 DXE589852 EHA589852 EQW589852 FAS589852 FKO589852 FUK589852 GEG589852 GOC589852 GXY589852 HHU589852 HRQ589852 IBM589852 ILI589852 IVE589852 JFA589852 JOW589852 JYS589852 KIO589852 KSK589852 LCG589852 LMC589852 LVY589852 MFU589852 MPQ589852 MZM589852 NJI589852 NTE589852 ODA589852 OMW589852 OWS589852 PGO589852 PQK589852 QAG589852 QKC589852 QTY589852 RDU589852 RNQ589852 RXM589852 SHI589852 SRE589852 TBA589852 TKW589852 TUS589852 UEO589852 UOK589852 UYG589852 VIC589852 VRY589852 WBU589852 WLQ589852 WVM589852 E655388 JA655388 SW655388 ACS655388 AMO655388 AWK655388 BGG655388 BQC655388 BZY655388 CJU655388 CTQ655388 DDM655388 DNI655388 DXE655388 EHA655388 EQW655388 FAS655388 FKO655388 FUK655388 GEG655388 GOC655388 GXY655388 HHU655388 HRQ655388 IBM655388 ILI655388 IVE655388 JFA655388 JOW655388 JYS655388 KIO655388 KSK655388 LCG655388 LMC655388 LVY655388 MFU655388 MPQ655388 MZM655388 NJI655388 NTE655388 ODA655388 OMW655388 OWS655388 PGO655388 PQK655388 QAG655388 QKC655388 QTY655388 RDU655388 RNQ655388 RXM655388 SHI655388 SRE655388 TBA655388 TKW655388 TUS655388 UEO655388 UOK655388 UYG655388 VIC655388 VRY655388 WBU655388 WLQ655388 WVM655388 E720924 JA720924 SW720924 ACS720924 AMO720924 AWK720924 BGG720924 BQC720924 BZY720924 CJU720924 CTQ720924 DDM720924 DNI720924 DXE720924 EHA720924 EQW720924 FAS720924 FKO720924 FUK720924 GEG720924 GOC720924 GXY720924 HHU720924 HRQ720924 IBM720924 ILI720924 IVE720924 JFA720924 JOW720924 JYS720924 KIO720924 KSK720924 LCG720924 LMC720924 LVY720924 MFU720924 MPQ720924 MZM720924 NJI720924 NTE720924 ODA720924 OMW720924 OWS720924 PGO720924 PQK720924 QAG720924 QKC720924 QTY720924 RDU720924 RNQ720924 RXM720924 SHI720924 SRE720924 TBA720924 TKW720924 TUS720924 UEO720924 UOK720924 UYG720924 VIC720924 VRY720924 WBU720924 WLQ720924 WVM720924 E786460 JA786460 SW786460 ACS786460 AMO786460 AWK786460 BGG786460 BQC786460 BZY786460 CJU786460 CTQ786460 DDM786460 DNI786460 DXE786460 EHA786460 EQW786460 FAS786460 FKO786460 FUK786460 GEG786460 GOC786460 GXY786460 HHU786460 HRQ786460 IBM786460 ILI786460 IVE786460 JFA786460 JOW786460 JYS786460 KIO786460 KSK786460 LCG786460 LMC786460 LVY786460 MFU786460 MPQ786460 MZM786460 NJI786460 NTE786460 ODA786460 OMW786460 OWS786460 PGO786460 PQK786460 QAG786460 QKC786460 QTY786460 RDU786460 RNQ786460 RXM786460 SHI786460 SRE786460 TBA786460 TKW786460 TUS786460 UEO786460 UOK786460 UYG786460 VIC786460 VRY786460 WBU786460 WLQ786460 WVM786460 E851996 JA851996 SW851996 ACS851996 AMO851996 AWK851996 BGG851996 BQC851996 BZY851996 CJU851996 CTQ851996 DDM851996 DNI851996 DXE851996 EHA851996 EQW851996 FAS851996 FKO851996 FUK851996 GEG851996 GOC851996 GXY851996 HHU851996 HRQ851996 IBM851996 ILI851996 IVE851996 JFA851996 JOW851996 JYS851996 KIO851996 KSK851996 LCG851996 LMC851996 LVY851996 MFU851996 MPQ851996 MZM851996 NJI851996 NTE851996 ODA851996 OMW851996 OWS851996 PGO851996 PQK851996 QAG851996 QKC851996 QTY851996 RDU851996 RNQ851996 RXM851996 SHI851996 SRE851996 TBA851996 TKW851996 TUS851996 UEO851996 UOK851996 UYG851996 VIC851996 VRY851996 WBU851996 WLQ851996 WVM851996 E917532 JA917532 SW917532 ACS917532 AMO917532 AWK917532 BGG917532 BQC917532 BZY917532 CJU917532 CTQ917532 DDM917532 DNI917532 DXE917532 EHA917532 EQW917532 FAS917532 FKO917532 FUK917532 GEG917532 GOC917532 GXY917532 HHU917532 HRQ917532 IBM917532 ILI917532 IVE917532 JFA917532 JOW917532 JYS917532 KIO917532 KSK917532 LCG917532 LMC917532 LVY917532 MFU917532 MPQ917532 MZM917532 NJI917532 NTE917532 ODA917532 OMW917532 OWS917532 PGO917532 PQK917532 QAG917532 QKC917532 QTY917532 RDU917532 RNQ917532 RXM917532 SHI917532 SRE917532 TBA917532 TKW917532 TUS917532 UEO917532 UOK917532 UYG917532 VIC917532 VRY917532 WBU917532 WLQ917532 WVM917532 E983068 JA983068 SW983068 ACS983068 AMO983068 AWK983068 BGG983068 BQC983068 BZY983068 CJU983068 CTQ983068 DDM983068 DNI983068 DXE983068 EHA983068 EQW983068 FAS983068 FKO983068 FUK983068 GEG983068 GOC983068 GXY983068 HHU983068 HRQ983068 IBM983068 ILI983068 IVE983068 JFA983068 JOW983068 JYS983068 KIO983068 KSK983068 LCG983068 LMC983068 LVY983068 MFU983068 MPQ983068 MZM983068 NJI983068 NTE983068 ODA983068 OMW983068 OWS983068 PGO983068 PQK983068 QAG983068 QKC983068 QTY983068 RDU983068 RNQ983068 RXM983068 SHI983068 SRE983068 TBA983068 TKW983068 TUS983068 UEO983068 UOK983068 UYG983068 VIC983068 VRY983068 WBU983068 WLQ983068 WVM983068">
      <formula1>$G$28:$G$34</formula1>
    </dataValidation>
  </dataValidations>
  <pageMargins left="0.75" right="0.75" top="1" bottom="1" header="0.5" footer="0.5"/>
  <pageSetup paperSize="8" scale="22"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
  <sheetViews>
    <sheetView tabSelected="1" workbookViewId="0">
      <selection activeCell="B5" sqref="B5"/>
    </sheetView>
  </sheetViews>
  <sheetFormatPr defaultRowHeight="13.5" x14ac:dyDescent="0.15"/>
  <cols>
    <col min="1" max="1" width="24.625" customWidth="1"/>
    <col min="2" max="2" width="31.875" customWidth="1"/>
    <col min="3" max="3" width="20.375" customWidth="1"/>
    <col min="4" max="4" width="21.75" customWidth="1"/>
    <col min="6" max="6" width="16.75" customWidth="1"/>
    <col min="7" max="7" width="20.5" customWidth="1"/>
  </cols>
  <sheetData>
    <row r="1" spans="1:9" x14ac:dyDescent="0.15">
      <c r="A1" t="s">
        <v>686</v>
      </c>
      <c r="B1" t="s">
        <v>687</v>
      </c>
      <c r="C1" t="s">
        <v>744</v>
      </c>
      <c r="D1" t="s">
        <v>745</v>
      </c>
      <c r="E1" t="s">
        <v>746</v>
      </c>
      <c r="F1" t="s">
        <v>747</v>
      </c>
      <c r="G1" t="s">
        <v>748</v>
      </c>
      <c r="H1" t="s">
        <v>749</v>
      </c>
      <c r="I1" t="s">
        <v>750</v>
      </c>
    </row>
    <row r="2" spans="1:9" x14ac:dyDescent="0.15">
      <c r="A2">
        <v>20200015</v>
      </c>
      <c r="B2" t="s">
        <v>685</v>
      </c>
      <c r="C2">
        <v>-213249.65</v>
      </c>
    </row>
    <row r="3" spans="1:9" x14ac:dyDescent="0.15">
      <c r="A3">
        <v>20200015</v>
      </c>
      <c r="B3" t="s">
        <v>685</v>
      </c>
      <c r="C3">
        <v>213249.65</v>
      </c>
      <c r="D3">
        <v>213249.65</v>
      </c>
      <c r="E3">
        <v>0</v>
      </c>
      <c r="F3">
        <v>0</v>
      </c>
      <c r="G3">
        <v>0</v>
      </c>
      <c r="H3">
        <v>0</v>
      </c>
      <c r="I3" t="s">
        <v>751</v>
      </c>
    </row>
    <row r="4" spans="1:9" x14ac:dyDescent="0.15">
      <c r="A4" t="s">
        <v>688</v>
      </c>
      <c r="C4">
        <f>SUM(C2:C3)</f>
        <v>0</v>
      </c>
      <c r="D4">
        <f>SUM(D2:D3)</f>
        <v>213249.65</v>
      </c>
      <c r="E4">
        <f>SUM(E2:E3)</f>
        <v>0</v>
      </c>
      <c r="F4">
        <f>SUM(F2:F3)</f>
        <v>0</v>
      </c>
      <c r="G4">
        <f>SUM(G2:G3)</f>
        <v>0</v>
      </c>
      <c r="H4">
        <f>SUM(H2:H3)</f>
        <v>0</v>
      </c>
    </row>
    <row r="5" spans="1:9" x14ac:dyDescent="0.15">
      <c r="A5" t="s">
        <v>756</v>
      </c>
      <c r="B5" s="435">
        <v>41791</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55"/>
  <sheetViews>
    <sheetView topLeftCell="A46" workbookViewId="0">
      <selection activeCell="D55" sqref="D55:E55"/>
    </sheetView>
  </sheetViews>
  <sheetFormatPr defaultRowHeight="13.5" x14ac:dyDescent="0.15"/>
  <cols>
    <col min="1" max="1" width="9" customWidth="1"/>
    <col min="3" max="3" width="40.875" customWidth="1"/>
    <col min="4" max="4" width="36.375" customWidth="1"/>
    <col min="5" max="5" width="21.875" customWidth="1"/>
    <col min="11" max="11" width="15.625" customWidth="1"/>
    <col min="12" max="12" width="14.25" customWidth="1"/>
  </cols>
  <sheetData>
    <row r="1" spans="1:12" ht="30.75" customHeight="1" thickBot="1" x14ac:dyDescent="0.2">
      <c r="A1" s="360" t="s">
        <v>578</v>
      </c>
      <c r="B1" s="360" t="s">
        <v>579</v>
      </c>
      <c r="C1" s="363" t="s">
        <v>580</v>
      </c>
      <c r="D1" s="364"/>
      <c r="E1" s="365"/>
      <c r="F1" s="369" t="s">
        <v>581</v>
      </c>
      <c r="G1" s="370"/>
      <c r="H1" s="360" t="s">
        <v>582</v>
      </c>
      <c r="I1" s="194" t="s">
        <v>583</v>
      </c>
      <c r="K1" s="303" t="s">
        <v>705</v>
      </c>
      <c r="L1" s="304"/>
    </row>
    <row r="2" spans="1:12" ht="21" customHeight="1" thickBot="1" x14ac:dyDescent="0.2">
      <c r="A2" s="361"/>
      <c r="B2" s="362"/>
      <c r="C2" s="366"/>
      <c r="D2" s="367"/>
      <c r="E2" s="368"/>
      <c r="F2" s="195" t="s">
        <v>585</v>
      </c>
      <c r="G2" s="184" t="s">
        <v>586</v>
      </c>
      <c r="H2" s="371"/>
      <c r="I2" s="193" t="s">
        <v>584</v>
      </c>
      <c r="K2" s="254" t="s">
        <v>713</v>
      </c>
      <c r="L2" s="252" t="s">
        <v>709</v>
      </c>
    </row>
    <row r="3" spans="1:12" ht="16.5" customHeight="1" x14ac:dyDescent="0.15">
      <c r="A3" s="305" t="s">
        <v>587</v>
      </c>
      <c r="B3" s="308">
        <v>0.25</v>
      </c>
      <c r="C3" s="215" t="s">
        <v>667</v>
      </c>
      <c r="D3" s="310" t="s">
        <v>661</v>
      </c>
      <c r="E3" s="311"/>
      <c r="F3" s="346">
        <v>1</v>
      </c>
      <c r="G3" s="347" t="s">
        <v>589</v>
      </c>
      <c r="H3" s="328" t="s">
        <v>590</v>
      </c>
      <c r="I3" s="337" t="s">
        <v>654</v>
      </c>
      <c r="K3" s="254" t="s">
        <v>714</v>
      </c>
      <c r="L3" s="252" t="s">
        <v>710</v>
      </c>
    </row>
    <row r="4" spans="1:12" ht="16.5" customHeight="1" x14ac:dyDescent="0.15">
      <c r="A4" s="306"/>
      <c r="B4" s="308"/>
      <c r="C4" s="191" t="s">
        <v>660</v>
      </c>
      <c r="D4" s="312">
        <v>10</v>
      </c>
      <c r="E4" s="313"/>
      <c r="F4" s="334"/>
      <c r="G4" s="329"/>
      <c r="H4" s="329"/>
      <c r="I4" s="337"/>
      <c r="K4" s="254" t="s">
        <v>715</v>
      </c>
      <c r="L4" s="252" t="s">
        <v>711</v>
      </c>
    </row>
    <row r="5" spans="1:12" ht="16.5" x14ac:dyDescent="0.15">
      <c r="A5" s="306"/>
      <c r="B5" s="308"/>
      <c r="C5" s="210" t="s">
        <v>662</v>
      </c>
      <c r="D5" s="314">
        <v>8</v>
      </c>
      <c r="E5" s="315"/>
      <c r="F5" s="334"/>
      <c r="G5" s="329"/>
      <c r="H5" s="329"/>
      <c r="I5" s="337"/>
      <c r="K5" s="254" t="s">
        <v>716</v>
      </c>
      <c r="L5" s="252" t="s">
        <v>706</v>
      </c>
    </row>
    <row r="6" spans="1:12" ht="16.5" x14ac:dyDescent="0.15">
      <c r="A6" s="306"/>
      <c r="B6" s="308"/>
      <c r="C6" s="210" t="s">
        <v>663</v>
      </c>
      <c r="D6" s="316">
        <v>6</v>
      </c>
      <c r="E6" s="317"/>
      <c r="F6" s="334"/>
      <c r="G6" s="329"/>
      <c r="H6" s="329"/>
      <c r="I6" s="337"/>
      <c r="K6" s="255" t="s">
        <v>707</v>
      </c>
      <c r="L6" s="253" t="s">
        <v>712</v>
      </c>
    </row>
    <row r="7" spans="1:12" ht="16.5" customHeight="1" x14ac:dyDescent="0.15">
      <c r="A7" s="306"/>
      <c r="B7" s="308"/>
      <c r="C7" s="210" t="s">
        <v>664</v>
      </c>
      <c r="D7" s="316">
        <v>4</v>
      </c>
      <c r="E7" s="317"/>
      <c r="F7" s="334"/>
      <c r="G7" s="329"/>
      <c r="H7" s="329"/>
      <c r="I7" s="337"/>
    </row>
    <row r="8" spans="1:12" ht="16.5" customHeight="1" x14ac:dyDescent="0.15">
      <c r="A8" s="306"/>
      <c r="B8" s="308"/>
      <c r="C8" s="210" t="s">
        <v>666</v>
      </c>
      <c r="D8" s="316">
        <v>2</v>
      </c>
      <c r="E8" s="317"/>
      <c r="F8" s="334"/>
      <c r="G8" s="329"/>
      <c r="H8" s="329"/>
      <c r="I8" s="337"/>
    </row>
    <row r="9" spans="1:12" ht="57" customHeight="1" thickBot="1" x14ac:dyDescent="0.2">
      <c r="A9" s="307"/>
      <c r="B9" s="309"/>
      <c r="C9" s="211" t="s">
        <v>665</v>
      </c>
      <c r="D9" s="318">
        <v>0</v>
      </c>
      <c r="E9" s="319"/>
      <c r="F9" s="335"/>
      <c r="G9" s="330"/>
      <c r="H9" s="343"/>
      <c r="I9" s="337"/>
    </row>
    <row r="10" spans="1:12" ht="25.5" customHeight="1" x14ac:dyDescent="0.15">
      <c r="A10" s="322" t="s">
        <v>596</v>
      </c>
      <c r="B10" s="323">
        <v>0.5</v>
      </c>
      <c r="C10" s="324" t="s">
        <v>701</v>
      </c>
      <c r="D10" s="215" t="s">
        <v>669</v>
      </c>
      <c r="E10" s="192" t="s">
        <v>668</v>
      </c>
      <c r="F10" s="323">
        <v>0.45</v>
      </c>
      <c r="G10" s="344" t="s">
        <v>649</v>
      </c>
      <c r="H10" s="336" t="s">
        <v>652</v>
      </c>
      <c r="I10" s="337"/>
    </row>
    <row r="11" spans="1:12" ht="25.5" customHeight="1" x14ac:dyDescent="0.15">
      <c r="A11" s="306"/>
      <c r="B11" s="308"/>
      <c r="C11" s="325"/>
      <c r="D11" s="219">
        <v>1</v>
      </c>
      <c r="E11" s="216">
        <v>10</v>
      </c>
      <c r="F11" s="308"/>
      <c r="G11" s="337"/>
      <c r="H11" s="337"/>
      <c r="I11" s="337"/>
    </row>
    <row r="12" spans="1:12" ht="23.25" customHeight="1" x14ac:dyDescent="0.15">
      <c r="A12" s="306"/>
      <c r="B12" s="308"/>
      <c r="C12" s="325"/>
      <c r="D12" s="220">
        <v>2</v>
      </c>
      <c r="E12" s="216">
        <v>8</v>
      </c>
      <c r="F12" s="308"/>
      <c r="G12" s="337"/>
      <c r="H12" s="337"/>
      <c r="I12" s="337"/>
    </row>
    <row r="13" spans="1:12" ht="24.75" customHeight="1" x14ac:dyDescent="0.15">
      <c r="A13" s="306"/>
      <c r="B13" s="308"/>
      <c r="C13" s="325"/>
      <c r="D13" s="220">
        <v>3</v>
      </c>
      <c r="E13" s="216">
        <v>6</v>
      </c>
      <c r="F13" s="308"/>
      <c r="G13" s="337"/>
      <c r="H13" s="337"/>
      <c r="I13" s="337"/>
    </row>
    <row r="14" spans="1:12" ht="24.75" customHeight="1" x14ac:dyDescent="0.15">
      <c r="A14" s="306"/>
      <c r="B14" s="308"/>
      <c r="C14" s="325"/>
      <c r="D14" s="220">
        <v>4</v>
      </c>
      <c r="E14" s="216">
        <v>5</v>
      </c>
      <c r="F14" s="308"/>
      <c r="G14" s="337"/>
      <c r="H14" s="337"/>
      <c r="I14" s="337"/>
    </row>
    <row r="15" spans="1:12" ht="21" customHeight="1" x14ac:dyDescent="0.15">
      <c r="A15" s="306"/>
      <c r="B15" s="308"/>
      <c r="C15" s="325"/>
      <c r="D15" s="220">
        <v>5</v>
      </c>
      <c r="E15" s="216">
        <v>4</v>
      </c>
      <c r="F15" s="308"/>
      <c r="G15" s="337"/>
      <c r="H15" s="337"/>
      <c r="I15" s="337"/>
    </row>
    <row r="16" spans="1:12" ht="29.25" customHeight="1" x14ac:dyDescent="0.15">
      <c r="A16" s="306"/>
      <c r="B16" s="308"/>
      <c r="C16" s="325"/>
      <c r="D16" s="220">
        <v>6</v>
      </c>
      <c r="E16" s="216">
        <v>3.2</v>
      </c>
      <c r="F16" s="308"/>
      <c r="G16" s="337"/>
      <c r="H16" s="337"/>
      <c r="I16" s="337"/>
    </row>
    <row r="17" spans="1:9" ht="27" customHeight="1" x14ac:dyDescent="0.15">
      <c r="A17" s="306"/>
      <c r="B17" s="308"/>
      <c r="C17" s="325"/>
      <c r="D17" s="220">
        <v>7</v>
      </c>
      <c r="E17" s="216">
        <v>2.4</v>
      </c>
      <c r="F17" s="308"/>
      <c r="G17" s="337"/>
      <c r="H17" s="337"/>
      <c r="I17" s="337"/>
    </row>
    <row r="18" spans="1:9" ht="21" customHeight="1" x14ac:dyDescent="0.15">
      <c r="A18" s="306"/>
      <c r="B18" s="308"/>
      <c r="C18" s="325"/>
      <c r="D18" s="220">
        <v>8</v>
      </c>
      <c r="E18" s="216">
        <v>2</v>
      </c>
      <c r="F18" s="308"/>
      <c r="G18" s="337"/>
      <c r="H18" s="337"/>
      <c r="I18" s="337"/>
    </row>
    <row r="19" spans="1:9" ht="18.75" customHeight="1" x14ac:dyDescent="0.15">
      <c r="A19" s="306"/>
      <c r="B19" s="308"/>
      <c r="C19" s="325"/>
      <c r="D19" s="220">
        <v>9</v>
      </c>
      <c r="E19" s="216">
        <v>1</v>
      </c>
      <c r="F19" s="308"/>
      <c r="G19" s="337"/>
      <c r="H19" s="337"/>
      <c r="I19" s="337"/>
    </row>
    <row r="20" spans="1:9" ht="24.75" customHeight="1" thickBot="1" x14ac:dyDescent="0.2">
      <c r="A20" s="306"/>
      <c r="B20" s="308"/>
      <c r="C20" s="326"/>
      <c r="D20" s="221">
        <v>10</v>
      </c>
      <c r="E20" s="217">
        <v>0</v>
      </c>
      <c r="F20" s="309"/>
      <c r="G20" s="345"/>
      <c r="H20" s="337"/>
      <c r="I20" s="337"/>
    </row>
    <row r="21" spans="1:9" ht="16.5" x14ac:dyDescent="0.15">
      <c r="A21" s="306"/>
      <c r="B21" s="308"/>
      <c r="C21" s="328" t="s">
        <v>704</v>
      </c>
      <c r="D21" s="215" t="s">
        <v>667</v>
      </c>
      <c r="E21" s="192" t="s">
        <v>668</v>
      </c>
      <c r="F21" s="323">
        <v>0.3</v>
      </c>
      <c r="G21" s="348" t="s">
        <v>651</v>
      </c>
      <c r="H21" s="337"/>
      <c r="I21" s="337"/>
    </row>
    <row r="22" spans="1:9" ht="16.5" x14ac:dyDescent="0.15">
      <c r="A22" s="306"/>
      <c r="B22" s="308"/>
      <c r="C22" s="329"/>
      <c r="D22" s="223" t="s">
        <v>717</v>
      </c>
      <c r="E22" s="218">
        <v>10</v>
      </c>
      <c r="F22" s="308"/>
      <c r="G22" s="349"/>
      <c r="H22" s="337"/>
      <c r="I22" s="337"/>
    </row>
    <row r="23" spans="1:9" ht="16.5" x14ac:dyDescent="0.15">
      <c r="A23" s="306"/>
      <c r="B23" s="308"/>
      <c r="C23" s="329"/>
      <c r="D23" s="223" t="s">
        <v>718</v>
      </c>
      <c r="E23" s="218">
        <v>8</v>
      </c>
      <c r="F23" s="308"/>
      <c r="G23" s="349"/>
      <c r="H23" s="337"/>
      <c r="I23" s="337"/>
    </row>
    <row r="24" spans="1:9" ht="16.5" x14ac:dyDescent="0.15">
      <c r="A24" s="306"/>
      <c r="B24" s="308"/>
      <c r="C24" s="329"/>
      <c r="D24" s="223" t="s">
        <v>719</v>
      </c>
      <c r="E24" s="218">
        <v>6</v>
      </c>
      <c r="F24" s="308"/>
      <c r="G24" s="349"/>
      <c r="H24" s="337"/>
      <c r="I24" s="337"/>
    </row>
    <row r="25" spans="1:9" ht="16.5" x14ac:dyDescent="0.15">
      <c r="A25" s="306"/>
      <c r="B25" s="308"/>
      <c r="C25" s="329"/>
      <c r="D25" s="223" t="s">
        <v>670</v>
      </c>
      <c r="E25" s="218">
        <v>4</v>
      </c>
      <c r="F25" s="308"/>
      <c r="G25" s="349"/>
      <c r="H25" s="337"/>
      <c r="I25" s="337"/>
    </row>
    <row r="26" spans="1:9" ht="17.25" thickBot="1" x14ac:dyDescent="0.2">
      <c r="A26" s="306"/>
      <c r="B26" s="308"/>
      <c r="C26" s="330"/>
      <c r="D26" s="224" t="s">
        <v>720</v>
      </c>
      <c r="E26" s="222">
        <v>2</v>
      </c>
      <c r="F26" s="309"/>
      <c r="G26" s="350"/>
      <c r="H26" s="337"/>
      <c r="I26" s="337"/>
    </row>
    <row r="27" spans="1:9" ht="16.5" x14ac:dyDescent="0.15">
      <c r="A27" s="306"/>
      <c r="B27" s="308"/>
      <c r="C27" s="331" t="s">
        <v>737</v>
      </c>
      <c r="D27" s="215" t="s">
        <v>680</v>
      </c>
      <c r="E27" s="230" t="s">
        <v>673</v>
      </c>
      <c r="F27" s="323">
        <v>0.15</v>
      </c>
      <c r="G27" s="344" t="s">
        <v>608</v>
      </c>
      <c r="H27" s="337"/>
      <c r="I27" s="337"/>
    </row>
    <row r="28" spans="1:9" ht="16.5" x14ac:dyDescent="0.15">
      <c r="A28" s="306"/>
      <c r="B28" s="308"/>
      <c r="C28" s="325"/>
      <c r="D28" s="212" t="s">
        <v>721</v>
      </c>
      <c r="E28" s="228">
        <v>10</v>
      </c>
      <c r="F28" s="308"/>
      <c r="G28" s="337"/>
      <c r="H28" s="337"/>
      <c r="I28" s="337"/>
    </row>
    <row r="29" spans="1:9" ht="16.5" x14ac:dyDescent="0.15">
      <c r="A29" s="306"/>
      <c r="B29" s="308"/>
      <c r="C29" s="325"/>
      <c r="D29" s="212" t="s">
        <v>722</v>
      </c>
      <c r="E29" s="228">
        <v>9.25</v>
      </c>
      <c r="F29" s="308"/>
      <c r="G29" s="337"/>
      <c r="H29" s="337"/>
      <c r="I29" s="337"/>
    </row>
    <row r="30" spans="1:9" ht="16.5" x14ac:dyDescent="0.15">
      <c r="A30" s="306"/>
      <c r="B30" s="308"/>
      <c r="C30" s="325"/>
      <c r="D30" s="212" t="s">
        <v>723</v>
      </c>
      <c r="E30" s="228">
        <v>8.5</v>
      </c>
      <c r="F30" s="308"/>
      <c r="G30" s="337"/>
      <c r="H30" s="337"/>
      <c r="I30" s="337"/>
    </row>
    <row r="31" spans="1:9" ht="16.5" x14ac:dyDescent="0.15">
      <c r="A31" s="306"/>
      <c r="B31" s="308"/>
      <c r="C31" s="325"/>
      <c r="D31" s="212" t="s">
        <v>724</v>
      </c>
      <c r="E31" s="228">
        <v>7.75</v>
      </c>
      <c r="F31" s="308"/>
      <c r="G31" s="337"/>
      <c r="H31" s="337"/>
      <c r="I31" s="337"/>
    </row>
    <row r="32" spans="1:9" ht="16.5" x14ac:dyDescent="0.15">
      <c r="A32" s="306"/>
      <c r="B32" s="308"/>
      <c r="C32" s="325"/>
      <c r="D32" s="212" t="s">
        <v>725</v>
      </c>
      <c r="E32" s="228">
        <v>7</v>
      </c>
      <c r="F32" s="308"/>
      <c r="G32" s="337"/>
      <c r="H32" s="337"/>
      <c r="I32" s="337"/>
    </row>
    <row r="33" spans="1:9" ht="16.5" x14ac:dyDescent="0.15">
      <c r="A33" s="306"/>
      <c r="B33" s="308"/>
      <c r="C33" s="325"/>
      <c r="D33" s="212" t="s">
        <v>726</v>
      </c>
      <c r="E33" s="228">
        <v>6.25</v>
      </c>
      <c r="F33" s="308"/>
      <c r="G33" s="337"/>
      <c r="H33" s="337"/>
      <c r="I33" s="337"/>
    </row>
    <row r="34" spans="1:9" ht="16.5" x14ac:dyDescent="0.15">
      <c r="A34" s="306"/>
      <c r="B34" s="308"/>
      <c r="C34" s="325"/>
      <c r="D34" s="212" t="s">
        <v>727</v>
      </c>
      <c r="E34" s="228">
        <v>5.5</v>
      </c>
      <c r="F34" s="308"/>
      <c r="G34" s="337"/>
      <c r="H34" s="337"/>
      <c r="I34" s="337"/>
    </row>
    <row r="35" spans="1:9" ht="16.5" x14ac:dyDescent="0.15">
      <c r="A35" s="306"/>
      <c r="B35" s="308"/>
      <c r="C35" s="325"/>
      <c r="D35" s="212" t="s">
        <v>728</v>
      </c>
      <c r="E35" s="228">
        <v>4.75</v>
      </c>
      <c r="F35" s="308"/>
      <c r="G35" s="337"/>
      <c r="H35" s="337"/>
      <c r="I35" s="337"/>
    </row>
    <row r="36" spans="1:9" ht="16.5" x14ac:dyDescent="0.15">
      <c r="A36" s="306"/>
      <c r="B36" s="308"/>
      <c r="C36" s="325"/>
      <c r="D36" s="212" t="s">
        <v>729</v>
      </c>
      <c r="E36" s="228">
        <v>4</v>
      </c>
      <c r="F36" s="308"/>
      <c r="G36" s="337"/>
      <c r="H36" s="337"/>
      <c r="I36" s="337"/>
    </row>
    <row r="37" spans="1:9" ht="16.5" x14ac:dyDescent="0.15">
      <c r="A37" s="306"/>
      <c r="B37" s="308"/>
      <c r="C37" s="325"/>
      <c r="D37" s="212" t="s">
        <v>730</v>
      </c>
      <c r="E37" s="228">
        <v>3.25</v>
      </c>
      <c r="F37" s="308"/>
      <c r="G37" s="337"/>
      <c r="H37" s="337"/>
      <c r="I37" s="337"/>
    </row>
    <row r="38" spans="1:9" ht="16.5" x14ac:dyDescent="0.15">
      <c r="A38" s="306"/>
      <c r="B38" s="308"/>
      <c r="C38" s="325"/>
      <c r="D38" s="212" t="s">
        <v>731</v>
      </c>
      <c r="E38" s="228">
        <v>2.5</v>
      </c>
      <c r="F38" s="308"/>
      <c r="G38" s="337"/>
      <c r="H38" s="337"/>
      <c r="I38" s="337"/>
    </row>
    <row r="39" spans="1:9" ht="16.5" x14ac:dyDescent="0.15">
      <c r="A39" s="306"/>
      <c r="B39" s="308"/>
      <c r="C39" s="325"/>
      <c r="D39" s="212" t="s">
        <v>732</v>
      </c>
      <c r="E39" s="228">
        <v>1.75</v>
      </c>
      <c r="F39" s="308"/>
      <c r="G39" s="337"/>
      <c r="H39" s="337"/>
      <c r="I39" s="337"/>
    </row>
    <row r="40" spans="1:9" ht="17.25" thickBot="1" x14ac:dyDescent="0.2">
      <c r="A40" s="306"/>
      <c r="B40" s="308"/>
      <c r="C40" s="327"/>
      <c r="D40" s="213" t="s">
        <v>672</v>
      </c>
      <c r="E40" s="229">
        <v>1</v>
      </c>
      <c r="F40" s="321"/>
      <c r="G40" s="345"/>
      <c r="H40" s="337"/>
      <c r="I40" s="337"/>
    </row>
    <row r="41" spans="1:9" ht="16.5" x14ac:dyDescent="0.15">
      <c r="A41" s="306"/>
      <c r="B41" s="308"/>
      <c r="C41" s="324" t="s">
        <v>700</v>
      </c>
      <c r="D41" s="214" t="s">
        <v>667</v>
      </c>
      <c r="E41" s="231" t="s">
        <v>673</v>
      </c>
      <c r="F41" s="332">
        <v>0.1</v>
      </c>
      <c r="G41" s="344" t="s">
        <v>623</v>
      </c>
      <c r="H41" s="337"/>
      <c r="I41" s="337"/>
    </row>
    <row r="42" spans="1:9" ht="33" x14ac:dyDescent="0.15">
      <c r="A42" s="306"/>
      <c r="B42" s="308"/>
      <c r="C42" s="325"/>
      <c r="D42" s="212" t="s">
        <v>691</v>
      </c>
      <c r="E42" s="228">
        <v>10</v>
      </c>
      <c r="F42" s="308"/>
      <c r="G42" s="337"/>
      <c r="H42" s="337"/>
      <c r="I42" s="337"/>
    </row>
    <row r="43" spans="1:9" ht="33" x14ac:dyDescent="0.15">
      <c r="A43" s="306"/>
      <c r="B43" s="308"/>
      <c r="C43" s="325"/>
      <c r="D43" s="212" t="s">
        <v>692</v>
      </c>
      <c r="E43" s="228">
        <v>5</v>
      </c>
      <c r="F43" s="308"/>
      <c r="G43" s="337"/>
      <c r="H43" s="337"/>
      <c r="I43" s="337"/>
    </row>
    <row r="44" spans="1:9" ht="50.25" thickBot="1" x14ac:dyDescent="0.2">
      <c r="A44" s="306"/>
      <c r="B44" s="308"/>
      <c r="C44" s="327"/>
      <c r="D44" s="213" t="s">
        <v>690</v>
      </c>
      <c r="E44" s="229">
        <v>0</v>
      </c>
      <c r="F44" s="321"/>
      <c r="G44" s="345"/>
      <c r="H44" s="338"/>
      <c r="I44" s="337"/>
    </row>
    <row r="45" spans="1:9" ht="36.75" customHeight="1" x14ac:dyDescent="0.15">
      <c r="A45" s="306" t="s">
        <v>741</v>
      </c>
      <c r="B45" s="308">
        <v>0.1</v>
      </c>
      <c r="C45" s="226" t="s">
        <v>671</v>
      </c>
      <c r="D45" s="358" t="s">
        <v>675</v>
      </c>
      <c r="E45" s="359"/>
      <c r="F45" s="346">
        <v>1</v>
      </c>
      <c r="G45" s="353">
        <v>41680</v>
      </c>
      <c r="H45" s="336" t="s">
        <v>628</v>
      </c>
      <c r="I45" s="337"/>
    </row>
    <row r="46" spans="1:9" ht="36.75" customHeight="1" x14ac:dyDescent="0.15">
      <c r="A46" s="306"/>
      <c r="B46" s="308"/>
      <c r="C46" s="225" t="s">
        <v>674</v>
      </c>
      <c r="D46" s="351">
        <v>10</v>
      </c>
      <c r="E46" s="352"/>
      <c r="F46" s="334"/>
      <c r="G46" s="354"/>
      <c r="H46" s="337"/>
      <c r="I46" s="337"/>
    </row>
    <row r="47" spans="1:9" ht="96" customHeight="1" x14ac:dyDescent="0.15">
      <c r="A47" s="306"/>
      <c r="B47" s="308"/>
      <c r="C47" s="225" t="s">
        <v>676</v>
      </c>
      <c r="D47" s="351">
        <v>6</v>
      </c>
      <c r="E47" s="352"/>
      <c r="F47" s="334"/>
      <c r="G47" s="354"/>
      <c r="H47" s="337"/>
      <c r="I47" s="337"/>
    </row>
    <row r="48" spans="1:9" ht="23.25" customHeight="1" thickBot="1" x14ac:dyDescent="0.2">
      <c r="A48" s="320"/>
      <c r="B48" s="321"/>
      <c r="C48" s="227" t="s">
        <v>677</v>
      </c>
      <c r="D48" s="356">
        <v>2</v>
      </c>
      <c r="E48" s="357"/>
      <c r="F48" s="335"/>
      <c r="G48" s="355"/>
      <c r="H48" s="338"/>
      <c r="I48" s="337"/>
    </row>
    <row r="49" spans="1:9" ht="16.5" x14ac:dyDescent="0.15">
      <c r="A49" s="305" t="s">
        <v>653</v>
      </c>
      <c r="B49" s="332">
        <v>0.15</v>
      </c>
      <c r="C49" s="215" t="s">
        <v>742</v>
      </c>
      <c r="D49" s="310" t="s">
        <v>678</v>
      </c>
      <c r="E49" s="311"/>
      <c r="F49" s="333">
        <v>1</v>
      </c>
      <c r="G49" s="328" t="s">
        <v>589</v>
      </c>
      <c r="H49" s="336" t="s">
        <v>632</v>
      </c>
      <c r="I49" s="337"/>
    </row>
    <row r="50" spans="1:9" ht="16.5" x14ac:dyDescent="0.15">
      <c r="A50" s="306"/>
      <c r="B50" s="308"/>
      <c r="C50" s="210" t="s">
        <v>681</v>
      </c>
      <c r="D50" s="339">
        <v>10</v>
      </c>
      <c r="E50" s="340"/>
      <c r="F50" s="334"/>
      <c r="G50" s="329"/>
      <c r="H50" s="337"/>
      <c r="I50" s="337"/>
    </row>
    <row r="51" spans="1:9" ht="16.5" x14ac:dyDescent="0.15">
      <c r="A51" s="306"/>
      <c r="B51" s="308"/>
      <c r="C51" s="210" t="s">
        <v>733</v>
      </c>
      <c r="D51" s="339">
        <v>8</v>
      </c>
      <c r="E51" s="340"/>
      <c r="F51" s="334"/>
      <c r="G51" s="329"/>
      <c r="H51" s="337"/>
      <c r="I51" s="337"/>
    </row>
    <row r="52" spans="1:9" ht="16.5" x14ac:dyDescent="0.15">
      <c r="A52" s="306"/>
      <c r="B52" s="308"/>
      <c r="C52" s="210" t="s">
        <v>734</v>
      </c>
      <c r="D52" s="339">
        <v>6</v>
      </c>
      <c r="E52" s="340"/>
      <c r="F52" s="334"/>
      <c r="G52" s="329"/>
      <c r="H52" s="337"/>
      <c r="I52" s="337"/>
    </row>
    <row r="53" spans="1:9" ht="16.5" x14ac:dyDescent="0.15">
      <c r="A53" s="306"/>
      <c r="B53" s="308"/>
      <c r="C53" s="210" t="s">
        <v>735</v>
      </c>
      <c r="D53" s="339">
        <v>4</v>
      </c>
      <c r="E53" s="340"/>
      <c r="F53" s="334"/>
      <c r="G53" s="329"/>
      <c r="H53" s="337"/>
      <c r="I53" s="337"/>
    </row>
    <row r="54" spans="1:9" ht="16.5" x14ac:dyDescent="0.15">
      <c r="A54" s="306"/>
      <c r="B54" s="308"/>
      <c r="C54" s="210" t="s">
        <v>736</v>
      </c>
      <c r="D54" s="339">
        <v>2</v>
      </c>
      <c r="E54" s="340"/>
      <c r="F54" s="334"/>
      <c r="G54" s="329"/>
      <c r="H54" s="337"/>
      <c r="I54" s="337"/>
    </row>
    <row r="55" spans="1:9" ht="17.25" thickBot="1" x14ac:dyDescent="0.2">
      <c r="A55" s="320"/>
      <c r="B55" s="321"/>
      <c r="C55" s="211" t="s">
        <v>682</v>
      </c>
      <c r="D55" s="341">
        <v>0</v>
      </c>
      <c r="E55" s="342"/>
      <c r="F55" s="335"/>
      <c r="G55" s="330"/>
      <c r="H55" s="338"/>
      <c r="I55" s="338"/>
    </row>
  </sheetData>
  <mergeCells count="55">
    <mergeCell ref="H45:H48"/>
    <mergeCell ref="D47:E47"/>
    <mergeCell ref="D48:E48"/>
    <mergeCell ref="D45:E45"/>
    <mergeCell ref="A1:A2"/>
    <mergeCell ref="B1:B2"/>
    <mergeCell ref="C1:E2"/>
    <mergeCell ref="F1:G1"/>
    <mergeCell ref="H1:H2"/>
    <mergeCell ref="F41:F44"/>
    <mergeCell ref="G41:G44"/>
    <mergeCell ref="D46:E46"/>
    <mergeCell ref="F45:F48"/>
    <mergeCell ref="G45:G48"/>
    <mergeCell ref="G3:G9"/>
    <mergeCell ref="F10:F20"/>
    <mergeCell ref="G10:G20"/>
    <mergeCell ref="F21:F26"/>
    <mergeCell ref="G21:G26"/>
    <mergeCell ref="A49:A55"/>
    <mergeCell ref="B49:B55"/>
    <mergeCell ref="F49:F55"/>
    <mergeCell ref="G49:G55"/>
    <mergeCell ref="H49:H55"/>
    <mergeCell ref="D53:E53"/>
    <mergeCell ref="D54:E54"/>
    <mergeCell ref="D55:E55"/>
    <mergeCell ref="D49:E49"/>
    <mergeCell ref="D50:E50"/>
    <mergeCell ref="D52:E52"/>
    <mergeCell ref="D51:E51"/>
    <mergeCell ref="A45:A48"/>
    <mergeCell ref="B45:B48"/>
    <mergeCell ref="A10:A44"/>
    <mergeCell ref="B10:B44"/>
    <mergeCell ref="C10:C20"/>
    <mergeCell ref="C41:C44"/>
    <mergeCell ref="C21:C26"/>
    <mergeCell ref="C27:C40"/>
    <mergeCell ref="K1:L1"/>
    <mergeCell ref="A3:A9"/>
    <mergeCell ref="B3:B9"/>
    <mergeCell ref="D3:E3"/>
    <mergeCell ref="D4:E4"/>
    <mergeCell ref="D5:E5"/>
    <mergeCell ref="D6:E6"/>
    <mergeCell ref="D7:E7"/>
    <mergeCell ref="D9:E9"/>
    <mergeCell ref="D8:E8"/>
    <mergeCell ref="H3:H9"/>
    <mergeCell ref="I3:I55"/>
    <mergeCell ref="F27:F40"/>
    <mergeCell ref="G27:G40"/>
    <mergeCell ref="H10:H44"/>
    <mergeCell ref="F3:F9"/>
  </mergeCells>
  <phoneticPr fontId="1"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4"/>
  <sheetViews>
    <sheetView topLeftCell="A4" workbookViewId="0">
      <selection sqref="A1:G1"/>
    </sheetView>
  </sheetViews>
  <sheetFormatPr defaultRowHeight="13.5" x14ac:dyDescent="0.15"/>
  <cols>
    <col min="1" max="1" width="11.75" customWidth="1"/>
    <col min="3" max="3" width="40.875" style="8" customWidth="1"/>
    <col min="4" max="4" width="21.875" customWidth="1"/>
  </cols>
  <sheetData>
    <row r="1" spans="1:7" ht="73.5" customHeight="1" x14ac:dyDescent="0.15">
      <c r="A1" s="375" t="s">
        <v>755</v>
      </c>
      <c r="B1" s="376"/>
      <c r="C1" s="376"/>
      <c r="D1" s="376"/>
      <c r="E1" s="376"/>
      <c r="F1" s="376"/>
      <c r="G1" s="376"/>
    </row>
    <row r="2" spans="1:7" ht="49.5" x14ac:dyDescent="0.15">
      <c r="A2" s="241" t="s">
        <v>578</v>
      </c>
      <c r="B2" s="240" t="s">
        <v>579</v>
      </c>
      <c r="C2" s="247" t="s">
        <v>696</v>
      </c>
      <c r="D2" s="247" t="s">
        <v>695</v>
      </c>
      <c r="E2" s="240" t="s">
        <v>581</v>
      </c>
      <c r="F2" s="240" t="s">
        <v>582</v>
      </c>
      <c r="G2" s="240" t="s">
        <v>583</v>
      </c>
    </row>
    <row r="3" spans="1:7" ht="42.75" customHeight="1" x14ac:dyDescent="0.15">
      <c r="A3" s="242" t="str">
        <f>Criteria!A3</f>
        <v>Vendor support</v>
      </c>
      <c r="B3" s="239">
        <f>Criteria!B3</f>
        <v>0.25</v>
      </c>
      <c r="C3" s="235" t="s">
        <v>660</v>
      </c>
      <c r="D3" s="235">
        <v>10</v>
      </c>
      <c r="E3" s="239">
        <f>Criteria!F3</f>
        <v>1</v>
      </c>
      <c r="F3" s="235">
        <f>B3*D3*E3</f>
        <v>2.5</v>
      </c>
      <c r="G3" s="379">
        <f>F3+F4+F12+F13</f>
        <v>7.7874999999999996</v>
      </c>
    </row>
    <row r="4" spans="1:7" ht="21.75" customHeight="1" x14ac:dyDescent="0.15">
      <c r="A4" s="374" t="str">
        <f>Criteria!A10</f>
        <v>Customer risk appraisal</v>
      </c>
      <c r="B4" s="373">
        <f>Criteria!B10</f>
        <v>0.5</v>
      </c>
      <c r="C4" s="238" t="s">
        <v>702</v>
      </c>
      <c r="D4" s="372">
        <v>6</v>
      </c>
      <c r="E4" s="373">
        <f>Criteria!F10</f>
        <v>0.45</v>
      </c>
      <c r="F4" s="378">
        <f>(D4*E4+D6*E6+D8*E8+D10*E11)*B4</f>
        <v>3.1875</v>
      </c>
      <c r="G4" s="379"/>
    </row>
    <row r="5" spans="1:7" ht="32.25" customHeight="1" x14ac:dyDescent="0.15">
      <c r="A5" s="374"/>
      <c r="B5" s="373"/>
      <c r="C5" s="238">
        <v>3</v>
      </c>
      <c r="D5" s="372"/>
      <c r="E5" s="373"/>
      <c r="F5" s="378"/>
      <c r="G5" s="379"/>
    </row>
    <row r="6" spans="1:7" ht="35.25" customHeight="1" x14ac:dyDescent="0.15">
      <c r="A6" s="374"/>
      <c r="B6" s="373"/>
      <c r="C6" s="238" t="s">
        <v>603</v>
      </c>
      <c r="D6" s="372">
        <v>8</v>
      </c>
      <c r="E6" s="373">
        <f>Criteria!F21</f>
        <v>0.3</v>
      </c>
      <c r="F6" s="378"/>
      <c r="G6" s="379"/>
    </row>
    <row r="7" spans="1:7" ht="35.25" customHeight="1" x14ac:dyDescent="0.15">
      <c r="A7" s="374"/>
      <c r="B7" s="373"/>
      <c r="C7" s="238" t="s">
        <v>710</v>
      </c>
      <c r="D7" s="372"/>
      <c r="E7" s="373"/>
      <c r="F7" s="378"/>
      <c r="G7" s="379"/>
    </row>
    <row r="8" spans="1:7" ht="20.25" customHeight="1" x14ac:dyDescent="0.15">
      <c r="A8" s="374"/>
      <c r="B8" s="373"/>
      <c r="C8" s="238" t="s">
        <v>679</v>
      </c>
      <c r="D8" s="377">
        <v>8.5</v>
      </c>
      <c r="E8" s="373">
        <v>0.15</v>
      </c>
      <c r="F8" s="378"/>
      <c r="G8" s="379"/>
    </row>
    <row r="9" spans="1:7" ht="35.25" customHeight="1" x14ac:dyDescent="0.15">
      <c r="A9" s="374"/>
      <c r="B9" s="373"/>
      <c r="C9" s="256">
        <v>12915000</v>
      </c>
      <c r="D9" s="377"/>
      <c r="E9" s="373"/>
      <c r="F9" s="378"/>
      <c r="G9" s="379"/>
    </row>
    <row r="10" spans="1:7" ht="21.75" customHeight="1" x14ac:dyDescent="0.15">
      <c r="A10" s="374"/>
      <c r="B10" s="373"/>
      <c r="C10" s="238" t="s">
        <v>739</v>
      </c>
      <c r="D10" s="372">
        <v>0</v>
      </c>
      <c r="E10" s="373">
        <f>Criteria!F41</f>
        <v>0.1</v>
      </c>
      <c r="F10" s="378"/>
      <c r="G10" s="379"/>
    </row>
    <row r="11" spans="1:7" ht="27.75" customHeight="1" x14ac:dyDescent="0.15">
      <c r="A11" s="374"/>
      <c r="B11" s="373"/>
      <c r="C11" s="238" t="s">
        <v>690</v>
      </c>
      <c r="D11" s="372"/>
      <c r="E11" s="373"/>
      <c r="F11" s="378"/>
      <c r="G11" s="379"/>
    </row>
    <row r="12" spans="1:7" ht="36.75" customHeight="1" x14ac:dyDescent="0.15">
      <c r="A12" s="242" t="str">
        <f>Criteria!A45</f>
        <v>Assets location</v>
      </c>
      <c r="B12" s="239">
        <f>Criteria!B45</f>
        <v>0.1</v>
      </c>
      <c r="C12" s="237" t="s">
        <v>674</v>
      </c>
      <c r="D12" s="237">
        <v>6</v>
      </c>
      <c r="E12" s="239">
        <f>Criteria!F45</f>
        <v>1</v>
      </c>
      <c r="F12" s="258">
        <f>B12*D12*E12</f>
        <v>0.60000000000000009</v>
      </c>
      <c r="G12" s="379"/>
    </row>
    <row r="13" spans="1:7" ht="37.5" customHeight="1" x14ac:dyDescent="0.15">
      <c r="A13" s="243" t="str">
        <f>Criteria!A49</f>
        <v>Leverage rate</v>
      </c>
      <c r="B13" s="244">
        <f>Criteria!B49</f>
        <v>0.15</v>
      </c>
      <c r="C13" s="257">
        <v>0.4</v>
      </c>
      <c r="D13" s="245">
        <v>10</v>
      </c>
      <c r="E13" s="244">
        <f>Criteria!F49</f>
        <v>1</v>
      </c>
      <c r="F13" s="246">
        <f>B13*D13*E13</f>
        <v>1.5</v>
      </c>
      <c r="G13" s="380"/>
    </row>
    <row r="14" spans="1:7" x14ac:dyDescent="0.15">
      <c r="A14" s="7"/>
      <c r="B14" s="7"/>
      <c r="C14" s="248"/>
      <c r="D14" s="7"/>
      <c r="E14" s="7"/>
      <c r="F14" s="7"/>
      <c r="G14" s="7"/>
    </row>
  </sheetData>
  <mergeCells count="13">
    <mergeCell ref="A1:G1"/>
    <mergeCell ref="D4:D5"/>
    <mergeCell ref="D6:D7"/>
    <mergeCell ref="E6:E7"/>
    <mergeCell ref="D8:D9"/>
    <mergeCell ref="F4:F11"/>
    <mergeCell ref="G3:G13"/>
    <mergeCell ref="D10:D11"/>
    <mergeCell ref="E10:E11"/>
    <mergeCell ref="E8:E9"/>
    <mergeCell ref="A4:A11"/>
    <mergeCell ref="B4:B11"/>
    <mergeCell ref="E4:E5"/>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48"/>
  <sheetViews>
    <sheetView topLeftCell="A13" workbookViewId="0">
      <selection sqref="A1:H48"/>
    </sheetView>
  </sheetViews>
  <sheetFormatPr defaultRowHeight="11.25" x14ac:dyDescent="0.15"/>
  <cols>
    <col min="1" max="3" width="9" style="196"/>
    <col min="4" max="4" width="18.875" style="196" customWidth="1"/>
    <col min="5" max="16384" width="9" style="196"/>
  </cols>
  <sheetData>
    <row r="1" spans="1:8" ht="26.25" thickBot="1" x14ac:dyDescent="0.2">
      <c r="A1" s="423" t="s">
        <v>578</v>
      </c>
      <c r="B1" s="423" t="s">
        <v>579</v>
      </c>
      <c r="C1" s="426" t="s">
        <v>580</v>
      </c>
      <c r="D1" s="427"/>
      <c r="E1" s="430" t="s">
        <v>581</v>
      </c>
      <c r="F1" s="431"/>
      <c r="G1" s="423" t="s">
        <v>582</v>
      </c>
      <c r="H1" s="197" t="s">
        <v>583</v>
      </c>
    </row>
    <row r="2" spans="1:8" ht="26.25" thickBot="1" x14ac:dyDescent="0.2">
      <c r="A2" s="424"/>
      <c r="B2" s="425"/>
      <c r="C2" s="428"/>
      <c r="D2" s="429"/>
      <c r="E2" s="198" t="s">
        <v>585</v>
      </c>
      <c r="F2" s="199" t="s">
        <v>586</v>
      </c>
      <c r="G2" s="432"/>
      <c r="H2" s="200" t="s">
        <v>584</v>
      </c>
    </row>
    <row r="3" spans="1:8" ht="12.75" x14ac:dyDescent="0.15">
      <c r="A3" s="381" t="s">
        <v>587</v>
      </c>
      <c r="B3" s="385">
        <v>0.25</v>
      </c>
      <c r="C3" s="387" t="s">
        <v>588</v>
      </c>
      <c r="D3" s="388"/>
      <c r="E3" s="415">
        <v>1</v>
      </c>
      <c r="F3" s="434" t="s">
        <v>589</v>
      </c>
      <c r="G3" s="405" t="s">
        <v>590</v>
      </c>
      <c r="H3" s="403" t="s">
        <v>654</v>
      </c>
    </row>
    <row r="4" spans="1:8" ht="12.75" x14ac:dyDescent="0.15">
      <c r="A4" s="382"/>
      <c r="B4" s="385"/>
      <c r="C4" s="392" t="s">
        <v>591</v>
      </c>
      <c r="D4" s="393"/>
      <c r="E4" s="390"/>
      <c r="F4" s="406"/>
      <c r="G4" s="406"/>
      <c r="H4" s="403"/>
    </row>
    <row r="5" spans="1:8" ht="12.75" x14ac:dyDescent="0.15">
      <c r="A5" s="382"/>
      <c r="B5" s="385"/>
      <c r="C5" s="392" t="s">
        <v>592</v>
      </c>
      <c r="D5" s="393"/>
      <c r="E5" s="390"/>
      <c r="F5" s="406"/>
      <c r="G5" s="406"/>
      <c r="H5" s="403"/>
    </row>
    <row r="6" spans="1:8" ht="12.75" x14ac:dyDescent="0.15">
      <c r="A6" s="382"/>
      <c r="B6" s="385"/>
      <c r="C6" s="392" t="s">
        <v>593</v>
      </c>
      <c r="D6" s="393"/>
      <c r="E6" s="390"/>
      <c r="F6" s="406"/>
      <c r="G6" s="406"/>
      <c r="H6" s="403"/>
    </row>
    <row r="7" spans="1:8" ht="12.75" x14ac:dyDescent="0.15">
      <c r="A7" s="382"/>
      <c r="B7" s="385"/>
      <c r="C7" s="392" t="s">
        <v>594</v>
      </c>
      <c r="D7" s="393"/>
      <c r="E7" s="390"/>
      <c r="F7" s="406"/>
      <c r="G7" s="406"/>
      <c r="H7" s="403"/>
    </row>
    <row r="8" spans="1:8" ht="13.5" thickBot="1" x14ac:dyDescent="0.2">
      <c r="A8" s="433"/>
      <c r="B8" s="398"/>
      <c r="C8" s="394" t="s">
        <v>595</v>
      </c>
      <c r="D8" s="395"/>
      <c r="E8" s="391"/>
      <c r="F8" s="407"/>
      <c r="G8" s="416"/>
      <c r="H8" s="403"/>
    </row>
    <row r="9" spans="1:8" ht="17.25" customHeight="1" x14ac:dyDescent="0.15">
      <c r="A9" s="396" t="s">
        <v>596</v>
      </c>
      <c r="B9" s="397">
        <v>0.5</v>
      </c>
      <c r="C9" s="399" t="s">
        <v>597</v>
      </c>
      <c r="D9" s="201" t="s">
        <v>598</v>
      </c>
      <c r="E9" s="397">
        <v>0.45</v>
      </c>
      <c r="F9" s="402" t="s">
        <v>649</v>
      </c>
      <c r="G9" s="418" t="s">
        <v>652</v>
      </c>
      <c r="H9" s="403"/>
    </row>
    <row r="10" spans="1:8" ht="15.75" customHeight="1" x14ac:dyDescent="0.15">
      <c r="A10" s="382"/>
      <c r="B10" s="385"/>
      <c r="C10" s="400"/>
      <c r="D10" s="201" t="s">
        <v>599</v>
      </c>
      <c r="E10" s="385"/>
      <c r="F10" s="403"/>
      <c r="G10" s="403"/>
      <c r="H10" s="403"/>
    </row>
    <row r="11" spans="1:8" ht="18" customHeight="1" x14ac:dyDescent="0.15">
      <c r="A11" s="382"/>
      <c r="B11" s="385"/>
      <c r="C11" s="400"/>
      <c r="D11" s="201" t="s">
        <v>644</v>
      </c>
      <c r="E11" s="385"/>
      <c r="F11" s="403"/>
      <c r="G11" s="403"/>
      <c r="H11" s="403"/>
    </row>
    <row r="12" spans="1:8" ht="18" customHeight="1" x14ac:dyDescent="0.15">
      <c r="A12" s="382"/>
      <c r="B12" s="385"/>
      <c r="C12" s="400"/>
      <c r="D12" s="201" t="s">
        <v>645</v>
      </c>
      <c r="E12" s="385"/>
      <c r="F12" s="403"/>
      <c r="G12" s="403"/>
      <c r="H12" s="403"/>
    </row>
    <row r="13" spans="1:8" ht="18.75" customHeight="1" x14ac:dyDescent="0.15">
      <c r="A13" s="382"/>
      <c r="B13" s="385"/>
      <c r="C13" s="400"/>
      <c r="D13" s="201" t="s">
        <v>646</v>
      </c>
      <c r="E13" s="385"/>
      <c r="F13" s="403"/>
      <c r="G13" s="403"/>
      <c r="H13" s="403"/>
    </row>
    <row r="14" spans="1:8" ht="14.25" customHeight="1" x14ac:dyDescent="0.15">
      <c r="A14" s="382"/>
      <c r="B14" s="385"/>
      <c r="C14" s="400"/>
      <c r="D14" s="201" t="s">
        <v>647</v>
      </c>
      <c r="E14" s="385"/>
      <c r="F14" s="403"/>
      <c r="G14" s="403"/>
      <c r="H14" s="403"/>
    </row>
    <row r="15" spans="1:8" ht="12" customHeight="1" x14ac:dyDescent="0.15">
      <c r="A15" s="382"/>
      <c r="B15" s="385"/>
      <c r="C15" s="400"/>
      <c r="D15" s="201" t="s">
        <v>648</v>
      </c>
      <c r="E15" s="385"/>
      <c r="F15" s="403"/>
      <c r="G15" s="403"/>
      <c r="H15" s="403"/>
    </row>
    <row r="16" spans="1:8" ht="10.5" customHeight="1" x14ac:dyDescent="0.15">
      <c r="A16" s="382"/>
      <c r="B16" s="385"/>
      <c r="C16" s="400"/>
      <c r="D16" s="201" t="s">
        <v>600</v>
      </c>
      <c r="E16" s="385"/>
      <c r="F16" s="403"/>
      <c r="G16" s="403"/>
      <c r="H16" s="403"/>
    </row>
    <row r="17" spans="1:8" ht="15" customHeight="1" x14ac:dyDescent="0.15">
      <c r="A17" s="382"/>
      <c r="B17" s="385"/>
      <c r="C17" s="400"/>
      <c r="D17" s="201" t="s">
        <v>601</v>
      </c>
      <c r="E17" s="385"/>
      <c r="F17" s="403"/>
      <c r="G17" s="403"/>
      <c r="H17" s="403"/>
    </row>
    <row r="18" spans="1:8" ht="12.75" customHeight="1" thickBot="1" x14ac:dyDescent="0.2">
      <c r="A18" s="382"/>
      <c r="B18" s="385"/>
      <c r="C18" s="401"/>
      <c r="D18" s="202" t="s">
        <v>602</v>
      </c>
      <c r="E18" s="398"/>
      <c r="F18" s="404"/>
      <c r="G18" s="403"/>
      <c r="H18" s="403"/>
    </row>
    <row r="19" spans="1:8" ht="16.5" customHeight="1" x14ac:dyDescent="0.15">
      <c r="A19" s="382"/>
      <c r="B19" s="385"/>
      <c r="C19" s="405" t="s">
        <v>603</v>
      </c>
      <c r="D19" s="201" t="s">
        <v>604</v>
      </c>
      <c r="E19" s="397">
        <v>0.3</v>
      </c>
      <c r="F19" s="408" t="s">
        <v>651</v>
      </c>
      <c r="G19" s="403"/>
      <c r="H19" s="403"/>
    </row>
    <row r="20" spans="1:8" ht="16.5" customHeight="1" x14ac:dyDescent="0.15">
      <c r="A20" s="382"/>
      <c r="B20" s="385"/>
      <c r="C20" s="406"/>
      <c r="D20" s="201" t="s">
        <v>605</v>
      </c>
      <c r="E20" s="385"/>
      <c r="F20" s="409"/>
      <c r="G20" s="403"/>
      <c r="H20" s="403"/>
    </row>
    <row r="21" spans="1:8" ht="12.75" x14ac:dyDescent="0.15">
      <c r="A21" s="382"/>
      <c r="B21" s="385"/>
      <c r="C21" s="406"/>
      <c r="D21" s="201" t="s">
        <v>638</v>
      </c>
      <c r="E21" s="385"/>
      <c r="F21" s="409"/>
      <c r="G21" s="403"/>
      <c r="H21" s="403"/>
    </row>
    <row r="22" spans="1:8" ht="14.25" customHeight="1" x14ac:dyDescent="0.15">
      <c r="A22" s="382"/>
      <c r="B22" s="385"/>
      <c r="C22" s="406"/>
      <c r="D22" s="201" t="s">
        <v>639</v>
      </c>
      <c r="E22" s="385"/>
      <c r="F22" s="409"/>
      <c r="G22" s="403"/>
      <c r="H22" s="403"/>
    </row>
    <row r="23" spans="1:8" ht="15.75" customHeight="1" thickBot="1" x14ac:dyDescent="0.2">
      <c r="A23" s="382"/>
      <c r="B23" s="385"/>
      <c r="C23" s="407"/>
      <c r="D23" s="203" t="s">
        <v>650</v>
      </c>
      <c r="E23" s="398"/>
      <c r="F23" s="410"/>
      <c r="G23" s="403"/>
      <c r="H23" s="403"/>
    </row>
    <row r="24" spans="1:8" ht="17.25" customHeight="1" x14ac:dyDescent="0.15">
      <c r="A24" s="382"/>
      <c r="B24" s="385"/>
      <c r="C24" s="411" t="s">
        <v>606</v>
      </c>
      <c r="D24" s="204" t="s">
        <v>607</v>
      </c>
      <c r="E24" s="397">
        <v>0.15</v>
      </c>
      <c r="F24" s="402" t="s">
        <v>608</v>
      </c>
      <c r="G24" s="403"/>
      <c r="H24" s="403"/>
    </row>
    <row r="25" spans="1:8" ht="22.5" customHeight="1" x14ac:dyDescent="0.15">
      <c r="A25" s="382"/>
      <c r="B25" s="385"/>
      <c r="C25" s="400"/>
      <c r="D25" s="204" t="s">
        <v>609</v>
      </c>
      <c r="E25" s="385"/>
      <c r="F25" s="403"/>
      <c r="G25" s="403"/>
      <c r="H25" s="403"/>
    </row>
    <row r="26" spans="1:8" ht="25.5" customHeight="1" x14ac:dyDescent="0.15">
      <c r="A26" s="382"/>
      <c r="B26" s="385"/>
      <c r="C26" s="400"/>
      <c r="D26" s="204" t="s">
        <v>610</v>
      </c>
      <c r="E26" s="385"/>
      <c r="F26" s="403"/>
      <c r="G26" s="403"/>
      <c r="H26" s="403"/>
    </row>
    <row r="27" spans="1:8" ht="23.25" customHeight="1" x14ac:dyDescent="0.15">
      <c r="A27" s="382"/>
      <c r="B27" s="385"/>
      <c r="C27" s="400"/>
      <c r="D27" s="204" t="s">
        <v>611</v>
      </c>
      <c r="E27" s="385"/>
      <c r="F27" s="403"/>
      <c r="G27" s="403"/>
      <c r="H27" s="403"/>
    </row>
    <row r="28" spans="1:8" ht="23.25" customHeight="1" x14ac:dyDescent="0.15">
      <c r="A28" s="382"/>
      <c r="B28" s="385"/>
      <c r="C28" s="400"/>
      <c r="D28" s="204" t="s">
        <v>612</v>
      </c>
      <c r="E28" s="385"/>
      <c r="F28" s="403"/>
      <c r="G28" s="403"/>
      <c r="H28" s="403"/>
    </row>
    <row r="29" spans="1:8" ht="23.25" customHeight="1" x14ac:dyDescent="0.15">
      <c r="A29" s="382"/>
      <c r="B29" s="385"/>
      <c r="C29" s="400"/>
      <c r="D29" s="204" t="s">
        <v>613</v>
      </c>
      <c r="E29" s="385"/>
      <c r="F29" s="403"/>
      <c r="G29" s="403"/>
      <c r="H29" s="403"/>
    </row>
    <row r="30" spans="1:8" ht="29.25" customHeight="1" x14ac:dyDescent="0.15">
      <c r="A30" s="382"/>
      <c r="B30" s="385"/>
      <c r="C30" s="400"/>
      <c r="D30" s="204" t="s">
        <v>614</v>
      </c>
      <c r="E30" s="385"/>
      <c r="F30" s="403"/>
      <c r="G30" s="403"/>
      <c r="H30" s="403"/>
    </row>
    <row r="31" spans="1:8" ht="27.75" customHeight="1" x14ac:dyDescent="0.15">
      <c r="A31" s="382"/>
      <c r="B31" s="385"/>
      <c r="C31" s="400"/>
      <c r="D31" s="204" t="s">
        <v>615</v>
      </c>
      <c r="E31" s="385"/>
      <c r="F31" s="403"/>
      <c r="G31" s="403"/>
      <c r="H31" s="403"/>
    </row>
    <row r="32" spans="1:8" ht="21.75" customHeight="1" x14ac:dyDescent="0.15">
      <c r="A32" s="382"/>
      <c r="B32" s="385"/>
      <c r="C32" s="400"/>
      <c r="D32" s="204" t="s">
        <v>616</v>
      </c>
      <c r="E32" s="385"/>
      <c r="F32" s="403"/>
      <c r="G32" s="403"/>
      <c r="H32" s="403"/>
    </row>
    <row r="33" spans="1:8" ht="21" customHeight="1" x14ac:dyDescent="0.15">
      <c r="A33" s="382"/>
      <c r="B33" s="385"/>
      <c r="C33" s="400"/>
      <c r="D33" s="204" t="s">
        <v>617</v>
      </c>
      <c r="E33" s="385"/>
      <c r="F33" s="403"/>
      <c r="G33" s="403"/>
      <c r="H33" s="403"/>
    </row>
    <row r="34" spans="1:8" ht="20.25" customHeight="1" x14ac:dyDescent="0.15">
      <c r="A34" s="382"/>
      <c r="B34" s="385"/>
      <c r="C34" s="400"/>
      <c r="D34" s="204" t="s">
        <v>618</v>
      </c>
      <c r="E34" s="385"/>
      <c r="F34" s="403"/>
      <c r="G34" s="403"/>
      <c r="H34" s="403"/>
    </row>
    <row r="35" spans="1:8" ht="20.25" customHeight="1" x14ac:dyDescent="0.15">
      <c r="A35" s="382"/>
      <c r="B35" s="385"/>
      <c r="C35" s="400"/>
      <c r="D35" s="204" t="s">
        <v>619</v>
      </c>
      <c r="E35" s="385"/>
      <c r="F35" s="403"/>
      <c r="G35" s="403"/>
      <c r="H35" s="403"/>
    </row>
    <row r="36" spans="1:8" ht="21" customHeight="1" thickBot="1" x14ac:dyDescent="0.2">
      <c r="A36" s="382"/>
      <c r="B36" s="385"/>
      <c r="C36" s="412"/>
      <c r="D36" s="205" t="s">
        <v>620</v>
      </c>
      <c r="E36" s="386"/>
      <c r="F36" s="404"/>
      <c r="G36" s="403"/>
      <c r="H36" s="403"/>
    </row>
    <row r="37" spans="1:8" ht="40.5" customHeight="1" x14ac:dyDescent="0.15">
      <c r="A37" s="382"/>
      <c r="B37" s="385"/>
      <c r="C37" s="399" t="s">
        <v>621</v>
      </c>
      <c r="D37" s="204" t="s">
        <v>622</v>
      </c>
      <c r="E37" s="384">
        <v>0.1</v>
      </c>
      <c r="F37" s="402" t="s">
        <v>623</v>
      </c>
      <c r="G37" s="403"/>
      <c r="H37" s="403"/>
    </row>
    <row r="38" spans="1:8" ht="63" customHeight="1" x14ac:dyDescent="0.15">
      <c r="A38" s="382"/>
      <c r="B38" s="385"/>
      <c r="C38" s="400"/>
      <c r="D38" s="204" t="s">
        <v>624</v>
      </c>
      <c r="E38" s="385"/>
      <c r="F38" s="403"/>
      <c r="G38" s="403"/>
      <c r="H38" s="403"/>
    </row>
    <row r="39" spans="1:8" ht="60.75" customHeight="1" thickBot="1" x14ac:dyDescent="0.2">
      <c r="A39" s="382"/>
      <c r="B39" s="385"/>
      <c r="C39" s="412"/>
      <c r="D39" s="205" t="s">
        <v>625</v>
      </c>
      <c r="E39" s="386"/>
      <c r="F39" s="404"/>
      <c r="G39" s="417"/>
      <c r="H39" s="403"/>
    </row>
    <row r="40" spans="1:8" ht="13.5" thickBot="1" x14ac:dyDescent="0.2">
      <c r="A40" s="383"/>
      <c r="B40" s="398"/>
      <c r="C40" s="413" t="s">
        <v>627</v>
      </c>
      <c r="D40" s="414"/>
      <c r="E40" s="415">
        <v>1</v>
      </c>
      <c r="F40" s="402" t="s">
        <v>640</v>
      </c>
      <c r="G40" s="418" t="s">
        <v>628</v>
      </c>
      <c r="H40" s="403"/>
    </row>
    <row r="41" spans="1:8" ht="25.5" x14ac:dyDescent="0.15">
      <c r="A41" s="206" t="s">
        <v>626</v>
      </c>
      <c r="B41" s="207">
        <v>0.1</v>
      </c>
      <c r="C41" s="419" t="s">
        <v>629</v>
      </c>
      <c r="D41" s="420"/>
      <c r="E41" s="390"/>
      <c r="F41" s="403"/>
      <c r="G41" s="403"/>
      <c r="H41" s="403"/>
    </row>
    <row r="42" spans="1:8" ht="13.5" thickBot="1" x14ac:dyDescent="0.2">
      <c r="A42" s="208"/>
      <c r="B42" s="209"/>
      <c r="C42" s="421" t="s">
        <v>630</v>
      </c>
      <c r="D42" s="422"/>
      <c r="E42" s="391"/>
      <c r="F42" s="404"/>
      <c r="G42" s="417"/>
      <c r="H42" s="403"/>
    </row>
    <row r="43" spans="1:8" ht="12.75" x14ac:dyDescent="0.15">
      <c r="A43" s="381" t="s">
        <v>653</v>
      </c>
      <c r="B43" s="384">
        <v>0.15</v>
      </c>
      <c r="C43" s="387" t="s">
        <v>631</v>
      </c>
      <c r="D43" s="388"/>
      <c r="E43" s="389">
        <v>1</v>
      </c>
      <c r="F43" s="405" t="s">
        <v>589</v>
      </c>
      <c r="G43" s="418" t="s">
        <v>632</v>
      </c>
      <c r="H43" s="403"/>
    </row>
    <row r="44" spans="1:8" ht="12.75" x14ac:dyDescent="0.15">
      <c r="A44" s="382"/>
      <c r="B44" s="385"/>
      <c r="C44" s="392" t="s">
        <v>633</v>
      </c>
      <c r="D44" s="393"/>
      <c r="E44" s="390"/>
      <c r="F44" s="406"/>
      <c r="G44" s="403"/>
      <c r="H44" s="403"/>
    </row>
    <row r="45" spans="1:8" ht="12.75" x14ac:dyDescent="0.15">
      <c r="A45" s="382"/>
      <c r="B45" s="385"/>
      <c r="C45" s="392" t="s">
        <v>634</v>
      </c>
      <c r="D45" s="393"/>
      <c r="E45" s="390"/>
      <c r="F45" s="406"/>
      <c r="G45" s="403"/>
      <c r="H45" s="403"/>
    </row>
    <row r="46" spans="1:8" ht="12.75" x14ac:dyDescent="0.15">
      <c r="A46" s="382"/>
      <c r="B46" s="385"/>
      <c r="C46" s="392" t="s">
        <v>635</v>
      </c>
      <c r="D46" s="393"/>
      <c r="E46" s="390"/>
      <c r="F46" s="406"/>
      <c r="G46" s="403"/>
      <c r="H46" s="403"/>
    </row>
    <row r="47" spans="1:8" ht="12.75" x14ac:dyDescent="0.15">
      <c r="A47" s="382"/>
      <c r="B47" s="385"/>
      <c r="C47" s="392" t="s">
        <v>636</v>
      </c>
      <c r="D47" s="393"/>
      <c r="E47" s="390"/>
      <c r="F47" s="406"/>
      <c r="G47" s="403"/>
      <c r="H47" s="403"/>
    </row>
    <row r="48" spans="1:8" ht="13.5" thickBot="1" x14ac:dyDescent="0.2">
      <c r="A48" s="383"/>
      <c r="B48" s="386"/>
      <c r="C48" s="394" t="s">
        <v>637</v>
      </c>
      <c r="D48" s="395"/>
      <c r="E48" s="391"/>
      <c r="F48" s="407"/>
      <c r="G48" s="417"/>
      <c r="H48" s="417"/>
    </row>
  </sheetData>
  <mergeCells count="49">
    <mergeCell ref="A3:A8"/>
    <mergeCell ref="B3:B8"/>
    <mergeCell ref="C3:D3"/>
    <mergeCell ref="E3:E8"/>
    <mergeCell ref="F3:F8"/>
    <mergeCell ref="A1:A2"/>
    <mergeCell ref="B1:B2"/>
    <mergeCell ref="C1:D2"/>
    <mergeCell ref="E1:F1"/>
    <mergeCell ref="G1:G2"/>
    <mergeCell ref="G3:G8"/>
    <mergeCell ref="H3:H48"/>
    <mergeCell ref="C4:D4"/>
    <mergeCell ref="C5:D5"/>
    <mergeCell ref="C6:D6"/>
    <mergeCell ref="C7:D7"/>
    <mergeCell ref="C8:D8"/>
    <mergeCell ref="E24:E36"/>
    <mergeCell ref="F24:F36"/>
    <mergeCell ref="C37:C39"/>
    <mergeCell ref="G40:G42"/>
    <mergeCell ref="C41:D41"/>
    <mergeCell ref="C42:D42"/>
    <mergeCell ref="G9:G39"/>
    <mergeCell ref="F43:F48"/>
    <mergeCell ref="G43:G48"/>
    <mergeCell ref="A9:A40"/>
    <mergeCell ref="B9:B40"/>
    <mergeCell ref="C9:C18"/>
    <mergeCell ref="E9:E18"/>
    <mergeCell ref="F9:F18"/>
    <mergeCell ref="C19:C23"/>
    <mergeCell ref="E19:E23"/>
    <mergeCell ref="F19:F23"/>
    <mergeCell ref="C24:C36"/>
    <mergeCell ref="E37:E39"/>
    <mergeCell ref="F37:F39"/>
    <mergeCell ref="C40:D40"/>
    <mergeCell ref="E40:E42"/>
    <mergeCell ref="F40:F42"/>
    <mergeCell ref="A43:A48"/>
    <mergeCell ref="B43:B48"/>
    <mergeCell ref="C43:D43"/>
    <mergeCell ref="E43:E48"/>
    <mergeCell ref="C44:D44"/>
    <mergeCell ref="C45:D45"/>
    <mergeCell ref="C46:D46"/>
    <mergeCell ref="C47:D47"/>
    <mergeCell ref="C48:D48"/>
  </mergeCells>
  <phoneticPr fontId="1" type="noConversion"/>
  <pageMargins left="0.7" right="0.7" top="0.75" bottom="0.75" header="0.3" footer="0.3"/>
  <pageSetup paperSize="9" scale="77" fitToWidth="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cover page</vt:lpstr>
      <vt:lpstr>customer data</vt:lpstr>
      <vt:lpstr>Deal Risk (2)</vt:lpstr>
      <vt:lpstr>Deal Risk (3)</vt:lpstr>
      <vt:lpstr>Leasing</vt:lpstr>
      <vt:lpstr>Criteria</vt:lpstr>
      <vt:lpstr>Score</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Lai, Da Yong</dc:creator>
  <cp:lastModifiedBy>Lai, Da Yong</cp:lastModifiedBy>
  <cp:lastPrinted>2014-06-19T03:06:10Z</cp:lastPrinted>
  <dcterms:created xsi:type="dcterms:W3CDTF">2013-08-07T01:54:47Z</dcterms:created>
  <dcterms:modified xsi:type="dcterms:W3CDTF">2014-06-26T06:00:26Z</dcterms:modified>
</cp:coreProperties>
</file>