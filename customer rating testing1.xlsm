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ThisWorkbook" defaultThemeVersion="124226"/>
  <bookViews>
    <workbookView xWindow="600" yWindow="315" windowWidth="14760" windowHeight="7425" tabRatio="608" activeTab="1"/>
  </bookViews>
  <sheets>
    <sheet name="cover page" sheetId="1" r:id="rId1"/>
    <sheet name="customer data" sheetId="2" r:id="rId2"/>
    <sheet name="Deal Risk (2)" sheetId="5" r:id="rId3"/>
    <sheet name="Deal Risk (3)" sheetId="6" r:id="rId4"/>
    <sheet name="Leasing" sheetId="9" r:id="rId5"/>
    <sheet name="Criteria" sheetId="8" r:id="rId6"/>
    <sheet name="Score" sheetId="10" r:id="rId7"/>
    <sheet name="Sheet1" sheetId="7" r:id="rId8"/>
  </sheets>
  <functionGroups builtInGroupCount="17"/>
  <definedNames>
    <definedName name="_xlnm._FilterDatabase" localSheetId="1" hidden="1">'customer data'!$B$2:$H$128</definedName>
    <definedName name="_xlnm._FilterDatabase" localSheetId="2" hidden="1">'Deal Risk (2)'!$B$50:$B$79</definedName>
    <definedName name="_xlnm._FilterDatabase" localSheetId="3" hidden="1">'Deal Risk (3)'!$A$3:$L$34</definedName>
  </definedNames>
  <calcPr calcId="145621" calcMode="manual"/>
</workbook>
</file>

<file path=xl/calcChain.xml><?xml version="1.0" encoding="utf-8"?>
<calcChain xmlns="http://schemas.openxmlformats.org/spreadsheetml/2006/main">
  <c r="H3" i="9" l="1"/>
  <c r="G3" i="9"/>
  <c r="F3" i="9"/>
  <c r="E3" i="9"/>
  <c r="D3" i="9"/>
  <c r="C3" i="9"/>
  <c r="D40" i="8" l="1"/>
  <c r="D39" i="8"/>
  <c r="D38" i="8"/>
  <c r="D37" i="8"/>
  <c r="D36" i="8"/>
  <c r="D35" i="8"/>
  <c r="D34" i="8"/>
  <c r="D33" i="8"/>
  <c r="D32" i="8"/>
  <c r="D31" i="8"/>
  <c r="D30" i="8"/>
  <c r="D29" i="8"/>
  <c r="D28" i="8"/>
  <c r="G3" i="2" l="1"/>
  <c r="E6" i="10" l="1"/>
  <c r="E10" i="10" l="1"/>
  <c r="E13" i="10"/>
  <c r="E12" i="10"/>
  <c r="E4" i="10"/>
  <c r="E3" i="10"/>
  <c r="B13" i="10"/>
  <c r="B12" i="10"/>
  <c r="B4" i="10"/>
  <c r="B3" i="10"/>
  <c r="F3" i="10" s="1"/>
  <c r="A13" i="10"/>
  <c r="A12" i="10"/>
  <c r="A4" i="10"/>
  <c r="A3" i="10"/>
  <c r="F12" i="10" l="1"/>
  <c r="F13" i="10"/>
  <c r="F4" i="10"/>
  <c r="M42" i="1"/>
  <c r="G3" i="10" l="1"/>
  <c r="C70" i="1"/>
  <c r="D69" i="1" l="1"/>
  <c r="E69" i="1" s="1"/>
  <c r="G4" i="2" l="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D73" i="1" l="1"/>
  <c r="D67" i="1" s="1"/>
  <c r="D70" i="1" s="1"/>
  <c r="E73" i="1"/>
  <c r="E67" i="1" s="1"/>
  <c r="E70" i="1" s="1"/>
  <c r="C73" i="1"/>
  <c r="D53" i="1" l="1"/>
  <c r="D48" i="1"/>
  <c r="C61" i="1" s="1"/>
  <c r="C62" i="1" l="1"/>
  <c r="E62" i="1" s="1"/>
  <c r="E61" i="1"/>
  <c r="D34" i="1"/>
  <c r="C59" i="1" s="1"/>
  <c r="E59" i="1" s="1"/>
  <c r="F28" i="6" l="1"/>
  <c r="I37" i="6"/>
  <c r="F38" i="6"/>
  <c r="F59" i="6"/>
  <c r="F28" i="5" l="1"/>
  <c r="F38" i="5"/>
  <c r="D39" i="5"/>
  <c r="C49" i="5"/>
  <c r="F60" i="5"/>
  <c r="J42" i="1" l="1"/>
  <c r="M18" i="1"/>
  <c r="M17" i="1" s="1"/>
  <c r="M16" i="1" s="1"/>
  <c r="M15" i="1" s="1"/>
  <c r="M14" i="1" s="1"/>
  <c r="M13" i="1" s="1"/>
  <c r="M12" i="1" s="1"/>
  <c r="M11" i="1" s="1"/>
  <c r="M10" i="1" s="1"/>
  <c r="M9" i="1" s="1"/>
  <c r="M8" i="1" s="1"/>
  <c r="G42" i="1" l="1"/>
  <c r="D42" i="1" l="1"/>
  <c r="D43" i="1" s="1"/>
  <c r="C60" i="1" s="1"/>
  <c r="E60" i="1" s="1"/>
  <c r="E63" i="1" s="1"/>
  <c r="C66" i="1" s="1"/>
  <c r="D66" i="1" l="1"/>
  <c r="C68" i="1"/>
  <c r="D68" i="1" l="1"/>
  <c r="E66" i="1"/>
  <c r="E68" i="1" s="1"/>
</calcChain>
</file>

<file path=xl/comments1.xml><?xml version="1.0" encoding="utf-8"?>
<comments xmlns="http://schemas.openxmlformats.org/spreadsheetml/2006/main">
  <authors>
    <author>Li, Le</author>
  </authors>
  <commentList>
    <comment ref="G5" authorId="0">
      <text>
        <r>
          <rPr>
            <b/>
            <sz val="9"/>
            <color indexed="81"/>
            <rFont val="宋体"/>
            <family val="3"/>
            <charset val="134"/>
          </rPr>
          <t>Li, Le:</t>
        </r>
        <r>
          <rPr>
            <sz val="9"/>
            <color indexed="81"/>
            <rFont val="宋体"/>
            <family val="3"/>
            <charset val="134"/>
          </rPr>
          <t xml:space="preserve">
The EMMA score is based on a scale of 1 to 10, where 1 represents a lower risk and 10 a higher risk. </t>
        </r>
      </text>
    </comment>
    <comment ref="R8" authorId="0">
      <text>
        <r>
          <rPr>
            <b/>
            <sz val="9"/>
            <color indexed="81"/>
            <rFont val="宋体"/>
            <family val="3"/>
            <charset val="134"/>
          </rPr>
          <t>Li, Le:</t>
        </r>
        <r>
          <rPr>
            <sz val="9"/>
            <color indexed="81"/>
            <rFont val="宋体"/>
            <family val="3"/>
            <charset val="134"/>
          </rPr>
          <t xml:space="preserve">
in principle, we do not make deal with those with delinquence record, but if the customer is strategic important, it is considerable. </t>
        </r>
      </text>
    </comment>
  </commentList>
</comments>
</file>

<file path=xl/comments2.xml><?xml version="1.0" encoding="utf-8"?>
<comments xmlns="http://schemas.openxmlformats.org/spreadsheetml/2006/main">
  <authors>
    <author>Li, Le</author>
  </authors>
  <commentList>
    <comment ref="C85"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6"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mments3.xml><?xml version="1.0" encoding="utf-8"?>
<comments xmlns="http://schemas.openxmlformats.org/spreadsheetml/2006/main">
  <authors>
    <author>Li, Le</author>
  </authors>
  <commentList>
    <comment ref="C84"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5"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nnections.xml><?xml version="1.0" encoding="utf-8"?>
<connections xmlns="http://schemas.openxmlformats.org/spreadsheetml/2006/main">
  <connection id="1" name="连接" type="1" refreshedVersion="0" background="1">
    <dbPr connection="DSN=Excel Files;DBQ='.\09. Lease Info for Finance Leasing.xlsx'" command="SELECT * FROM `C:\Users\dylai\Desktop\数据`.chaxun1"/>
  </connection>
  <connection id="2" name="连接1" type="1" refreshedVersion="0" background="1">
    <dbPr connection="DSN=Excel Files;DBQ='.\09. Lease Info for Finance Leasing.xlsx'" command="SELECT * FROM `C:\Users\dylai\Desktop\数据`.chaxun1"/>
  </connection>
  <connection id="3" name="连接2" type="1" refreshedVersion="0" background="1">
    <dbPr connection="DSN=Excel Files;DBQ='.\09. Lease Info for Finance Leasing.xlsx'" command="SELECT * FROM `C:\Users\dylai\Desktop\数据`.chaxun1"/>
  </connection>
  <connection id="4" name="连接3" type="1" refreshedVersion="0" background="1">
    <dbPr connection="DSN=Excel Files;DBQ='.\09. Lease Info for Finance Leasing.xlsx'" command="SELECT * FROM `C:\Users\dylai\Desktop\数据`.chaxun1"/>
  </connection>
  <connection id="5" name="连接4" type="1" refreshedVersion="0" background="1">
    <dbPr connection="DSN=Excel Files;DBQ='.\09. Lease Info for Finance Leasing.xlsx'" command="SELECT * FROM `C:\Users\dylai\Desktop\数据`.chaxun1"/>
  </connection>
  <connection id="6" name="连接5" type="1" refreshedVersion="0" background="1">
    <dbPr connection="DSN=Excel Files;DBQ='.\09. Lease Info for Finance Leasing.xlsx'" command="SELECT * FROM `C:\Users\dylai\Desktop\数据`.chaxun1"/>
  </connection>
</connections>
</file>

<file path=xl/sharedStrings.xml><?xml version="1.0" encoding="utf-8"?>
<sst xmlns="http://schemas.openxmlformats.org/spreadsheetml/2006/main" count="948" uniqueCount="779">
  <si>
    <t xml:space="preserve">D&amp;B Rating </t>
    <phoneticPr fontId="1" type="noConversion"/>
  </si>
  <si>
    <t>Tangible net worth</t>
    <phoneticPr fontId="1" type="noConversion"/>
  </si>
  <si>
    <t xml:space="preserve">registered capital </t>
    <phoneticPr fontId="1" type="noConversion"/>
  </si>
  <si>
    <t>5A</t>
    <phoneticPr fontId="1" type="noConversion"/>
  </si>
  <si>
    <t>4A</t>
  </si>
  <si>
    <t>4A</t>
    <phoneticPr fontId="1" type="noConversion"/>
  </si>
  <si>
    <t>3A</t>
    <phoneticPr fontId="1" type="noConversion"/>
  </si>
  <si>
    <t>2A</t>
  </si>
  <si>
    <t>1A</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</si>
  <si>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</si>
  <si>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</si>
  <si>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</si>
  <si>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</si>
  <si>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</si>
  <si>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</si>
  <si>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</si>
  <si>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</si>
  <si>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5AA</t>
    <phoneticPr fontId="1" type="noConversion"/>
  </si>
  <si>
    <t>4AA</t>
    <phoneticPr fontId="1" type="noConversion"/>
  </si>
  <si>
    <t>3AA</t>
    <phoneticPr fontId="1" type="noConversion"/>
  </si>
  <si>
    <t>2AA</t>
    <phoneticPr fontId="1" type="noConversion"/>
  </si>
  <si>
    <t>1AA</t>
    <phoneticPr fontId="1" type="noConversion"/>
  </si>
  <si>
    <t>AA</t>
    <phoneticPr fontId="1" type="noConversion"/>
  </si>
  <si>
    <t>BB</t>
    <phoneticPr fontId="1" type="noConversion"/>
  </si>
  <si>
    <t>CC</t>
    <phoneticPr fontId="1" type="noConversion"/>
  </si>
  <si>
    <t>DD</t>
    <phoneticPr fontId="1" type="noConversion"/>
  </si>
  <si>
    <t>EE</t>
    <phoneticPr fontId="1" type="noConversion"/>
  </si>
  <si>
    <t>FF</t>
    <phoneticPr fontId="1" type="noConversion"/>
  </si>
  <si>
    <t>GG</t>
    <phoneticPr fontId="1" type="noConversion"/>
  </si>
  <si>
    <t>HH</t>
    <phoneticPr fontId="1" type="noConversion"/>
  </si>
  <si>
    <t>N</t>
    <phoneticPr fontId="1" type="noConversion"/>
  </si>
  <si>
    <t>O</t>
    <phoneticPr fontId="1" type="noConversion"/>
  </si>
  <si>
    <t>NB</t>
    <phoneticPr fontId="1" type="noConversion"/>
  </si>
  <si>
    <t>NQ</t>
    <phoneticPr fontId="1" type="noConversion"/>
  </si>
  <si>
    <t>BR</t>
    <phoneticPr fontId="1" type="noConversion"/>
  </si>
  <si>
    <t>INV</t>
    <phoneticPr fontId="1" type="noConversion"/>
  </si>
  <si>
    <t>RMB</t>
    <phoneticPr fontId="1" type="noConversion"/>
  </si>
  <si>
    <t>alternate ratings</t>
    <phoneticPr fontId="1" type="noConversion"/>
  </si>
  <si>
    <t xml:space="preserve">Explanation </t>
    <phoneticPr fontId="1" type="noConversion"/>
  </si>
  <si>
    <t>Financial strength is negative</t>
    <phoneticPr fontId="1" type="noConversion"/>
  </si>
  <si>
    <t>6500000-8499999</t>
    <phoneticPr fontId="1" type="noConversion"/>
  </si>
  <si>
    <t>4500000-6499999</t>
    <phoneticPr fontId="1" type="noConversion"/>
  </si>
  <si>
    <t>2500000-4499999</t>
    <phoneticPr fontId="1" type="noConversion"/>
  </si>
  <si>
    <t>1750000-249999</t>
    <phoneticPr fontId="1" type="noConversion"/>
  </si>
  <si>
    <t>1000000-1749999</t>
    <phoneticPr fontId="1" type="noConversion"/>
  </si>
  <si>
    <t>650000-999999</t>
    <phoneticPr fontId="1" type="noConversion"/>
  </si>
  <si>
    <t>450000-649999</t>
    <phoneticPr fontId="1" type="noConversion"/>
  </si>
  <si>
    <t>300000-449999</t>
    <phoneticPr fontId="1" type="noConversion"/>
  </si>
  <si>
    <t>200000-299999</t>
    <phoneticPr fontId="1" type="noConversion"/>
  </si>
  <si>
    <t>&lt;200,000</t>
    <phoneticPr fontId="1" type="noConversion"/>
  </si>
  <si>
    <t>Financial strength is undisclosed</t>
    <phoneticPr fontId="1" type="noConversion"/>
  </si>
  <si>
    <t>new Business</t>
    <phoneticPr fontId="1" type="noConversion"/>
  </si>
  <si>
    <t xml:space="preserve">out of business:  business has ceased to trade </t>
    <phoneticPr fontId="1" type="noConversion"/>
  </si>
  <si>
    <t xml:space="preserve">Branch or division location </t>
    <phoneticPr fontId="1" type="noConversion"/>
  </si>
  <si>
    <t xml:space="preserve">Investigation is undergoing </t>
    <phoneticPr fontId="1" type="noConversion"/>
  </si>
  <si>
    <t>EMMA Score</t>
    <phoneticPr fontId="1" type="noConversion"/>
  </si>
  <si>
    <t>limited</t>
    <phoneticPr fontId="1" type="noConversion"/>
  </si>
  <si>
    <t xml:space="preserve">composite credit appraisal </t>
    <phoneticPr fontId="1" type="noConversion"/>
  </si>
  <si>
    <t>Stong</t>
    <phoneticPr fontId="1" type="noConversion"/>
  </si>
  <si>
    <t>good</t>
    <phoneticPr fontId="1" type="noConversion"/>
  </si>
  <si>
    <t>Fair</t>
    <phoneticPr fontId="1" type="noConversion"/>
  </si>
  <si>
    <t xml:space="preserve">undetermined </t>
    <phoneticPr fontId="1" type="noConversion"/>
  </si>
  <si>
    <t>3AA1</t>
  </si>
  <si>
    <t>3AA2</t>
  </si>
  <si>
    <t>4A-</t>
  </si>
  <si>
    <t>3AA-</t>
  </si>
  <si>
    <t>EE-</t>
  </si>
  <si>
    <t>3A3</t>
  </si>
  <si>
    <t>5A1</t>
  </si>
  <si>
    <t>4AA3</t>
  </si>
  <si>
    <t>3AA3</t>
  </si>
  <si>
    <t>2A-</t>
  </si>
  <si>
    <t>4AA2</t>
  </si>
  <si>
    <t>1AA-</t>
  </si>
  <si>
    <t>5A2</t>
  </si>
  <si>
    <t>3A2</t>
  </si>
  <si>
    <t>EE3</t>
  </si>
  <si>
    <t>1AA3</t>
  </si>
  <si>
    <t>2AA2</t>
  </si>
  <si>
    <t>E3</t>
  </si>
  <si>
    <t>N4</t>
  </si>
  <si>
    <t>CC3</t>
  </si>
  <si>
    <t>4A3</t>
  </si>
  <si>
    <t>4A1</t>
  </si>
  <si>
    <t>AA-</t>
  </si>
  <si>
    <t>5AA2</t>
  </si>
  <si>
    <t>O3</t>
  </si>
  <si>
    <t>5A-</t>
  </si>
  <si>
    <t>CC2</t>
  </si>
  <si>
    <t>CC-</t>
  </si>
  <si>
    <t>1A3</t>
  </si>
  <si>
    <t>A3</t>
  </si>
  <si>
    <t>EE2</t>
  </si>
  <si>
    <t>B2</t>
  </si>
  <si>
    <t>B3</t>
  </si>
  <si>
    <t>1AA2</t>
  </si>
  <si>
    <t>AA2</t>
  </si>
  <si>
    <t>N-</t>
  </si>
  <si>
    <t>5A3</t>
  </si>
  <si>
    <t>C3</t>
  </si>
  <si>
    <t>5AA-</t>
  </si>
  <si>
    <t>BB3</t>
  </si>
  <si>
    <t>4AA-</t>
  </si>
  <si>
    <t>AA3</t>
  </si>
  <si>
    <t>2AA-</t>
  </si>
  <si>
    <t>1A2</t>
  </si>
  <si>
    <t>0-</t>
  </si>
  <si>
    <t>DD3</t>
  </si>
  <si>
    <t>3A1</t>
  </si>
  <si>
    <t xml:space="preserve">EMMA Score </t>
    <phoneticPr fontId="1" type="noConversion"/>
  </si>
  <si>
    <t xml:space="preserve">Composite Credit Appraisal </t>
    <phoneticPr fontId="1" type="noConversion"/>
  </si>
  <si>
    <t xml:space="preserve">Customer Risk Appraisal </t>
    <phoneticPr fontId="1" type="noConversion"/>
  </si>
  <si>
    <t xml:space="preserve">Score </t>
    <phoneticPr fontId="1" type="noConversion"/>
  </si>
  <si>
    <t>score</t>
    <phoneticPr fontId="1" type="noConversion"/>
  </si>
  <si>
    <t xml:space="preserve">Registered capital </t>
    <phoneticPr fontId="1" type="noConversion"/>
  </si>
  <si>
    <t>85,000,000 - 449,000,000</t>
    <phoneticPr fontId="1" type="noConversion"/>
  </si>
  <si>
    <t xml:space="preserve">Score </t>
    <phoneticPr fontId="1" type="noConversion"/>
  </si>
  <si>
    <t>Weight</t>
    <phoneticPr fontId="1" type="noConversion"/>
  </si>
  <si>
    <t xml:space="preserve">GLP Existing customer </t>
    <phoneticPr fontId="1" type="noConversion"/>
  </si>
  <si>
    <t xml:space="preserve">weight </t>
    <phoneticPr fontId="1" type="noConversion"/>
  </si>
  <si>
    <t xml:space="preserve">Existing customer </t>
    <phoneticPr fontId="1" type="noConversion"/>
  </si>
  <si>
    <t xml:space="preserve">GLP existing customer with delinquence histroy, but now with no overdue </t>
    <phoneticPr fontId="1" type="noConversion"/>
  </si>
  <si>
    <t xml:space="preserve">GLP existing customer with good rental payment record </t>
    <phoneticPr fontId="1" type="noConversion"/>
  </si>
  <si>
    <t xml:space="preserve">no GLP customer </t>
    <phoneticPr fontId="1" type="noConversion"/>
  </si>
  <si>
    <t xml:space="preserve">GLP existing customer with however acceptable overdue record </t>
    <phoneticPr fontId="1" type="noConversion"/>
  </si>
  <si>
    <t xml:space="preserve">Score </t>
    <phoneticPr fontId="1" type="noConversion"/>
  </si>
  <si>
    <t>&gt;=450,0000,000</t>
    <phoneticPr fontId="1" type="noConversion"/>
  </si>
  <si>
    <t xml:space="preserve">GLP existing customer with good rental payment record </t>
  </si>
  <si>
    <t xml:space="preserve">Customer rating </t>
    <phoneticPr fontId="14" type="noConversion"/>
  </si>
  <si>
    <t xml:space="preserve">Vendor support </t>
    <phoneticPr fontId="14" type="noConversion"/>
  </si>
  <si>
    <t>score</t>
    <phoneticPr fontId="14" type="noConversion"/>
  </si>
  <si>
    <t>"cooperative partner with repossessing guarantee"</t>
    <phoneticPr fontId="14" type="noConversion"/>
  </si>
  <si>
    <t xml:space="preserve">"Coopearative partner with remarketing support"  </t>
    <phoneticPr fontId="14" type="noConversion"/>
  </si>
  <si>
    <t>"cooperative partner with Other support accepted by GLP Leasing company"</t>
    <phoneticPr fontId="14" type="noConversion"/>
  </si>
  <si>
    <t>"coopearative partner with GLP, but without any material support"</t>
    <phoneticPr fontId="14" type="noConversion"/>
  </si>
  <si>
    <t>"No coopearation record with GLP, but  having good market reputation"</t>
    <phoneticPr fontId="14" type="noConversion"/>
  </si>
  <si>
    <t xml:space="preserve">"No cooperation record with GLP, and holding mediocre reputation" </t>
    <phoneticPr fontId="14" type="noConversion"/>
  </si>
  <si>
    <t xml:space="preserve">Leverage ratio </t>
    <phoneticPr fontId="20" type="noConversion"/>
  </si>
  <si>
    <t xml:space="preserve">Assets location </t>
    <phoneticPr fontId="20" type="noConversion"/>
  </si>
  <si>
    <t xml:space="preserve">Customer rating </t>
    <phoneticPr fontId="20" type="noConversion"/>
  </si>
  <si>
    <t xml:space="preserve">Vendor support </t>
    <phoneticPr fontId="20" type="noConversion"/>
  </si>
  <si>
    <t>Weight</t>
    <phoneticPr fontId="20" type="noConversion"/>
  </si>
  <si>
    <t>Zhuhai</t>
    <phoneticPr fontId="20" type="noConversion"/>
  </si>
  <si>
    <t>Zhongshan</t>
    <phoneticPr fontId="20" type="noConversion"/>
  </si>
  <si>
    <t>Ningbo</t>
    <phoneticPr fontId="20" type="noConversion"/>
  </si>
  <si>
    <t xml:space="preserve">GLPm tier-2- </t>
    <phoneticPr fontId="20" type="noConversion"/>
  </si>
  <si>
    <t>Jiaxing</t>
    <phoneticPr fontId="20" type="noConversion"/>
  </si>
  <si>
    <t>Kunming</t>
    <phoneticPr fontId="20" type="noConversion"/>
  </si>
  <si>
    <t>Changsha</t>
    <phoneticPr fontId="20" type="noConversion"/>
  </si>
  <si>
    <t>Nanning</t>
    <phoneticPr fontId="20" type="noConversion"/>
  </si>
  <si>
    <t>Ximen</t>
    <phoneticPr fontId="20" type="noConversion"/>
  </si>
  <si>
    <t>Nanchang</t>
    <phoneticPr fontId="20" type="noConversion"/>
  </si>
  <si>
    <t>Xi'An</t>
    <phoneticPr fontId="20" type="noConversion"/>
  </si>
  <si>
    <t>Hefei</t>
    <phoneticPr fontId="20" type="noConversion"/>
  </si>
  <si>
    <t>Wuhan</t>
    <phoneticPr fontId="20" type="noConversion"/>
  </si>
  <si>
    <t>Zhengzhou</t>
    <phoneticPr fontId="20" type="noConversion"/>
  </si>
  <si>
    <t>Jinan</t>
    <phoneticPr fontId="20" type="noConversion"/>
  </si>
  <si>
    <t xml:space="preserve">Qingdao </t>
    <phoneticPr fontId="20" type="noConversion"/>
  </si>
  <si>
    <t>Chongqing</t>
    <phoneticPr fontId="20" type="noConversion"/>
  </si>
  <si>
    <t>Dalian</t>
    <phoneticPr fontId="20" type="noConversion"/>
  </si>
  <si>
    <t>Shenyang</t>
    <phoneticPr fontId="20" type="noConversion"/>
  </si>
  <si>
    <t>Hangzhou</t>
    <phoneticPr fontId="20" type="noConversion"/>
  </si>
  <si>
    <t>GLP tier-2+</t>
    <phoneticPr fontId="20" type="noConversion"/>
  </si>
  <si>
    <t>Nanjing</t>
    <phoneticPr fontId="20" type="noConversion"/>
  </si>
  <si>
    <t>9</t>
    <phoneticPr fontId="20" type="noConversion"/>
  </si>
  <si>
    <t>Shenzheng</t>
    <phoneticPr fontId="20" type="noConversion"/>
  </si>
  <si>
    <t>** Based on incremental leverage at the project level</t>
    <phoneticPr fontId="20" type="noConversion"/>
  </si>
  <si>
    <t>Suzhou</t>
    <phoneticPr fontId="20" type="noConversion"/>
  </si>
  <si>
    <t>* Deals with strategic customers agreed by EC will be regarded as special cases.</t>
    <phoneticPr fontId="20" type="noConversion"/>
  </si>
  <si>
    <t>Tianjin</t>
    <phoneticPr fontId="20" type="noConversion"/>
  </si>
  <si>
    <t>Score 5: Leverage ratio &gt;=85%</t>
    <phoneticPr fontId="20" type="noConversion"/>
  </si>
  <si>
    <t>10</t>
    <phoneticPr fontId="20" type="noConversion"/>
  </si>
  <si>
    <t>Guangzhou</t>
    <phoneticPr fontId="20" type="noConversion"/>
  </si>
  <si>
    <t>Score 4: Leverage ratio &gt;=80%, &lt;85%</t>
    <phoneticPr fontId="20" type="noConversion"/>
  </si>
  <si>
    <t>Shanghai</t>
    <phoneticPr fontId="20" type="noConversion"/>
  </si>
  <si>
    <t>Score 3: Leverage ratio &gt;=75%, &lt;80%</t>
    <phoneticPr fontId="20" type="noConversion"/>
  </si>
  <si>
    <t>Beijing</t>
    <phoneticPr fontId="20" type="noConversion"/>
  </si>
  <si>
    <t>Score 2: Leverage ratio &gt;=65%, &lt;75%</t>
    <phoneticPr fontId="20" type="noConversion"/>
  </si>
  <si>
    <t>Score 1: Leverage ratio &gt;=50%, &lt;65%</t>
    <phoneticPr fontId="20" type="noConversion"/>
  </si>
  <si>
    <t>Score 0: Leverage ratio &lt;60%</t>
    <phoneticPr fontId="20" type="noConversion"/>
  </si>
  <si>
    <t>Score from 0-5</t>
    <phoneticPr fontId="20" type="noConversion"/>
  </si>
  <si>
    <t>5.  Leverage Ratio**</t>
    <phoneticPr fontId="20" type="noConversion"/>
  </si>
  <si>
    <t>1</t>
    <phoneticPr fontId="20" type="noConversion"/>
  </si>
  <si>
    <t>Others</t>
    <phoneticPr fontId="20" type="noConversion"/>
  </si>
  <si>
    <t>Score 5: Others</t>
    <phoneticPr fontId="20" type="noConversion"/>
  </si>
  <si>
    <t>3</t>
    <phoneticPr fontId="20" type="noConversion"/>
  </si>
  <si>
    <r>
      <t>Non GLP faciliteis in 2-tier</t>
    </r>
    <r>
      <rPr>
        <vertAlign val="superscript"/>
        <sz val="12"/>
        <rFont val="Arial"/>
        <family val="2"/>
      </rPr>
      <t xml:space="preserve"> -</t>
    </r>
    <r>
      <rPr>
        <sz val="12"/>
        <rFont val="Arial"/>
        <family val="2"/>
      </rPr>
      <t xml:space="preserve"> logistics hubs</t>
    </r>
    <phoneticPr fontId="20" type="noConversion"/>
  </si>
  <si>
    <t>Score 4: Non-GLP facilities in 2-tier logistics hubs (i.e. Nanjing, Wuxi, Hangzhou, Jiaxing, Ningbo, Qingdao, Shenyang, Dalian, Zhongshan, Zhuhai, Chengdu, Chongqing, Jinan, Zhengzhou, Wuhan, Hefei, Xi'an, Xiamen, Nanning, Changsha, Nanchang, Kunming)</t>
    <phoneticPr fontId="20" type="noConversion"/>
  </si>
  <si>
    <t>4</t>
    <phoneticPr fontId="20" type="noConversion"/>
  </si>
  <si>
    <r>
      <t>Non GLP faciliteis in 2-tier</t>
    </r>
    <r>
      <rPr>
        <vertAlign val="superscript"/>
        <sz val="12"/>
        <rFont val="Arial"/>
        <family val="2"/>
      </rPr>
      <t>+</t>
    </r>
    <r>
      <rPr>
        <sz val="12"/>
        <rFont val="Arial"/>
        <family val="2"/>
      </rPr>
      <t xml:space="preserve"> logistics hubs</t>
    </r>
    <phoneticPr fontId="20" type="noConversion"/>
  </si>
  <si>
    <t>5</t>
    <phoneticPr fontId="20" type="noConversion"/>
  </si>
  <si>
    <r>
      <t>Non GLP faciliteis in 1-tier</t>
    </r>
    <r>
      <rPr>
        <vertAlign val="superscript"/>
        <sz val="12"/>
        <rFont val="Arial"/>
        <family val="2"/>
      </rPr>
      <t xml:space="preserve"> -</t>
    </r>
    <r>
      <rPr>
        <sz val="12"/>
        <rFont val="Arial"/>
        <family val="2"/>
      </rPr>
      <t xml:space="preserve"> logistics hubs</t>
    </r>
    <phoneticPr fontId="20" type="noConversion"/>
  </si>
  <si>
    <t>Score 3: Non-GLP facilities in 1-tier logistics hubs (i.e. Shanghai, Guangzhou &amp; Foshan, Beijing, Tianjin, Suzhou, Shenzhen)</t>
    <phoneticPr fontId="20" type="noConversion"/>
  </si>
  <si>
    <t>6</t>
    <phoneticPr fontId="20" type="noConversion"/>
  </si>
  <si>
    <r>
      <t xml:space="preserve">Non GLP faciliteis in 1-tier </t>
    </r>
    <r>
      <rPr>
        <vertAlign val="superscript"/>
        <sz val="12"/>
        <rFont val="Arial"/>
        <family val="2"/>
      </rPr>
      <t>+</t>
    </r>
    <r>
      <rPr>
        <sz val="12"/>
        <rFont val="Arial"/>
        <family val="2"/>
      </rPr>
      <t xml:space="preserve"> logistics hubs</t>
    </r>
    <phoneticPr fontId="20" type="noConversion"/>
  </si>
  <si>
    <t>7</t>
    <phoneticPr fontId="20" type="noConversion"/>
  </si>
  <si>
    <r>
      <t>GLP-facilities in 2-tier</t>
    </r>
    <r>
      <rPr>
        <vertAlign val="superscript"/>
        <sz val="12"/>
        <rFont val="Arial"/>
        <family val="2"/>
      </rPr>
      <t xml:space="preserve"> -</t>
    </r>
    <r>
      <rPr>
        <sz val="12"/>
        <rFont val="Arial"/>
        <family val="2"/>
      </rPr>
      <t xml:space="preserve"> logistics hubs</t>
    </r>
    <phoneticPr fontId="20" type="noConversion"/>
  </si>
  <si>
    <t>8</t>
    <phoneticPr fontId="20" type="noConversion"/>
  </si>
  <si>
    <r>
      <t xml:space="preserve">GLP facilities in 2-tier </t>
    </r>
    <r>
      <rPr>
        <vertAlign val="superscript"/>
        <sz val="12"/>
        <rFont val="Arial"/>
        <family val="2"/>
      </rPr>
      <t>+</t>
    </r>
    <r>
      <rPr>
        <sz val="12"/>
        <rFont val="Arial"/>
        <family val="2"/>
      </rPr>
      <t xml:space="preserve"> logistics hubs</t>
    </r>
    <phoneticPr fontId="20" type="noConversion"/>
  </si>
  <si>
    <t>Score 2: GLP facilities in 2-tier logistics hubs (i.e. Nanjing, Wuxi, Hangzhou, Jiaxing, Ningbo, Qingdao, Shenyang, Dalian, Zhongshan, Zhuhai, Chengdu, Chongqing, Jinan, Zhengzhou, Wuhan, Hefei, Xi'an, Xiamen, Nanning, Changsha, Nanchang, Kunming)</t>
    <phoneticPr fontId="20" type="noConversion"/>
  </si>
  <si>
    <r>
      <t>GLP facilities in 1-tier</t>
    </r>
    <r>
      <rPr>
        <vertAlign val="superscript"/>
        <sz val="12"/>
        <rFont val="Arial"/>
        <family val="2"/>
      </rPr>
      <t xml:space="preserve"> _</t>
    </r>
    <r>
      <rPr>
        <sz val="12"/>
        <rFont val="Arial"/>
        <family val="2"/>
      </rPr>
      <t xml:space="preserve"> logstics hubs</t>
    </r>
    <phoneticPr fontId="20" type="noConversion"/>
  </si>
  <si>
    <t>GLP facilities in 1-tier+logstics hubs</t>
    <phoneticPr fontId="20" type="noConversion"/>
  </si>
  <si>
    <t>Score 1: GLP facilities in 1-tier logistics hubs (i.e. Shanghai, Guangzhou &amp; Foshan, Beijing, Tianjin, Suzhou, Shenzhen)</t>
    <phoneticPr fontId="20" type="noConversion"/>
  </si>
  <si>
    <t>过程管理风险和变现风险</t>
    <phoneticPr fontId="20" type="noConversion"/>
  </si>
  <si>
    <t>GLP facilities in 1-tier+logstics hubs</t>
  </si>
  <si>
    <t>Score from 1-2</t>
    <phoneticPr fontId="20" type="noConversion"/>
  </si>
  <si>
    <t>3. Utilized Location</t>
    <phoneticPr fontId="20" type="noConversion"/>
  </si>
  <si>
    <t>Score</t>
    <phoneticPr fontId="20" type="noConversion"/>
  </si>
  <si>
    <t xml:space="preserve">Location of customer's facilities </t>
    <phoneticPr fontId="20" type="noConversion"/>
  </si>
  <si>
    <t>=lookup(E35,E39:E47,F38:F46)</t>
    <phoneticPr fontId="20" type="noConversion"/>
  </si>
  <si>
    <t>Non GLP faciliteis in 1-tier - logistics hubs</t>
  </si>
  <si>
    <t xml:space="preserve">No cooperation record with GLP, and holding mediocre reputation </t>
    <phoneticPr fontId="20" type="noConversion"/>
  </si>
  <si>
    <t>No coopearation record with GLP, but  having good market reputation</t>
    <phoneticPr fontId="20" type="noConversion"/>
  </si>
  <si>
    <t>coopearative partner with GLP, but without any material support</t>
    <phoneticPr fontId="20" type="noConversion"/>
  </si>
  <si>
    <t>cooperative partner with Other support accepted by GLP Leasing company</t>
    <phoneticPr fontId="20" type="noConversion"/>
  </si>
  <si>
    <r>
      <t xml:space="preserve">Score 3: </t>
    </r>
    <r>
      <rPr>
        <sz val="12"/>
        <rFont val="宋体"/>
        <family val="3"/>
        <charset val="134"/>
      </rPr>
      <t>与</t>
    </r>
    <r>
      <rPr>
        <sz val="12"/>
        <rFont val="Arial"/>
        <family val="2"/>
      </rPr>
      <t>GLP</t>
    </r>
    <r>
      <rPr>
        <sz val="12"/>
        <rFont val="宋体"/>
        <family val="3"/>
        <charset val="134"/>
      </rPr>
      <t>无合作</t>
    </r>
    <phoneticPr fontId="20" type="noConversion"/>
  </si>
  <si>
    <t xml:space="preserve">Coopearative partner with remarketing support  </t>
    <phoneticPr fontId="20"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</si>
  <si>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20" type="noConversion"/>
  </si>
  <si>
    <t>变现风险？</t>
    <phoneticPr fontId="20" type="noConversion"/>
  </si>
  <si>
    <t>Cooperative partner with loss share (loss pool) guarantee</t>
    <phoneticPr fontId="20"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</si>
  <si>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20" type="noConversion"/>
  </si>
  <si>
    <t xml:space="preserve">cooperative partner with repossessing guarantee </t>
    <phoneticPr fontId="20"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</si>
  <si>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20" type="noConversion"/>
  </si>
  <si>
    <t>供应商供货风险</t>
    <phoneticPr fontId="20" type="noConversion"/>
  </si>
  <si>
    <t>score</t>
    <phoneticPr fontId="20" type="noConversion"/>
  </si>
  <si>
    <t xml:space="preserve">score </t>
    <phoneticPr fontId="20" type="noConversion"/>
  </si>
  <si>
    <t>form of support</t>
    <phoneticPr fontId="20" type="noConversion"/>
  </si>
  <si>
    <t xml:space="preserve">Score from </t>
    <phoneticPr fontId="20" type="noConversion"/>
  </si>
  <si>
    <t xml:space="preserve">2.  Vendor Evaluation </t>
    <phoneticPr fontId="20" type="noConversion"/>
  </si>
  <si>
    <t>v</t>
    <phoneticPr fontId="20" type="noConversion"/>
  </si>
  <si>
    <t xml:space="preserve">Total liability/Total Assets </t>
    <phoneticPr fontId="20" type="noConversion"/>
  </si>
  <si>
    <t>6. l/t payment capacity</t>
    <phoneticPr fontId="20" type="noConversion"/>
  </si>
  <si>
    <t xml:space="preserve">(2). Cash flow from operating business/current liability </t>
    <phoneticPr fontId="20" type="noConversion"/>
  </si>
  <si>
    <t>(1). Quick ratio</t>
    <phoneticPr fontId="20" type="noConversion"/>
  </si>
  <si>
    <t>5. S/t payment capacity</t>
    <phoneticPr fontId="20" type="noConversion"/>
  </si>
  <si>
    <t>(2). Net profit growth</t>
    <phoneticPr fontId="20" type="noConversion"/>
  </si>
  <si>
    <t xml:space="preserve">(1). Gross income </t>
    <phoneticPr fontId="20" type="noConversion"/>
  </si>
  <si>
    <t>4. Growth in percentage</t>
    <phoneticPr fontId="20" type="noConversion"/>
  </si>
  <si>
    <t xml:space="preserve">Net worth/Total Assets </t>
    <phoneticPr fontId="20" type="noConversion"/>
  </si>
  <si>
    <t>3. Solvency in percentage</t>
    <phoneticPr fontId="20" type="noConversion"/>
  </si>
  <si>
    <t>9. How would the management quality be assessted?</t>
    <phoneticPr fontId="20" type="noConversion"/>
  </si>
  <si>
    <t>(4). Asset Turnover (cost of sales/Total assets )</t>
    <phoneticPr fontId="20" type="noConversion"/>
  </si>
  <si>
    <t>8. How would the volatility of the customers' core industtry segement?</t>
    <phoneticPr fontId="20" type="noConversion"/>
  </si>
  <si>
    <t>(3). Days Payables</t>
    <phoneticPr fontId="20" type="noConversion"/>
  </si>
  <si>
    <t>7. Relative to its competitors, how would the customer's performance be described in its industry segement ?</t>
    <phoneticPr fontId="20" type="noConversion"/>
  </si>
  <si>
    <t>(2). Days Receivable</t>
    <phoneticPr fontId="20" type="noConversion"/>
  </si>
  <si>
    <t>6. How will the industry outlook affect the company?</t>
    <phoneticPr fontId="20" type="noConversion"/>
  </si>
  <si>
    <t>(1). Days Inventories</t>
    <phoneticPr fontId="20" type="noConversion"/>
  </si>
  <si>
    <t>5. Business concentraion in customers and suppliers</t>
    <phoneticPr fontId="20" type="noConversion"/>
  </si>
  <si>
    <t>2. Liquidity ratio</t>
    <phoneticPr fontId="20" type="noConversion"/>
  </si>
  <si>
    <t>4. Any negative information/record in PBOC credit report/ PBOC Leasing registeration system or Litigatin records?</t>
    <phoneticPr fontId="20" type="noConversion"/>
  </si>
  <si>
    <t>(3). Rental coverage (EDITDA/Rental (including warehouse + equipment)</t>
    <phoneticPr fontId="20" type="noConversion"/>
  </si>
  <si>
    <t>3. An existing customer with GLP? How long is the relationship? And how is the rental payment pattern in the past time?</t>
    <phoneticPr fontId="20" type="noConversion"/>
  </si>
  <si>
    <t>(2). Interest coverage (EBIT/Interest)</t>
    <phoneticPr fontId="20" type="noConversion"/>
  </si>
  <si>
    <t>2. Year of Estabilishment</t>
    <phoneticPr fontId="20" type="noConversion"/>
  </si>
  <si>
    <t xml:space="preserve">(1). ROE </t>
    <phoneticPr fontId="20" type="noConversion"/>
  </si>
  <si>
    <t>1. No. of staff</t>
    <phoneticPr fontId="20" type="noConversion"/>
  </si>
  <si>
    <t xml:space="preserve">1. Performance ratio </t>
    <phoneticPr fontId="20" type="noConversion"/>
  </si>
  <si>
    <r>
      <t>客户基础评级评级（GLP现有客户及其他正常评估项目），可考虑分为</t>
    </r>
    <r>
      <rPr>
        <sz val="12"/>
        <rFont val="宋体"/>
        <family val="3"/>
        <charset val="134"/>
      </rPr>
      <t>5-6级别</t>
    </r>
    <phoneticPr fontId="20" type="noConversion"/>
  </si>
  <si>
    <t>还款风险</t>
    <phoneticPr fontId="20" type="noConversion"/>
  </si>
  <si>
    <t xml:space="preserve">non-finance factor </t>
    <phoneticPr fontId="20" type="noConversion"/>
  </si>
  <si>
    <t xml:space="preserve">Finance factor </t>
    <phoneticPr fontId="20" type="noConversion"/>
  </si>
  <si>
    <t>1.  Customer Evaluation</t>
    <phoneticPr fontId="20" type="noConversion"/>
  </si>
  <si>
    <t>Rating Score</t>
    <phoneticPr fontId="20" type="noConversion"/>
  </si>
  <si>
    <t>China Score Range and Description</t>
    <phoneticPr fontId="20" type="noConversion"/>
  </si>
  <si>
    <t>Criteria*</t>
    <phoneticPr fontId="20" type="noConversion"/>
  </si>
  <si>
    <t xml:space="preserve">Specific deal Risk Premium </t>
    <phoneticPr fontId="20" type="noConversion"/>
  </si>
  <si>
    <t xml:space="preserve">Leverage ratio </t>
    <phoneticPr fontId="14" type="noConversion"/>
  </si>
  <si>
    <t xml:space="preserve">Assets location </t>
    <phoneticPr fontId="14" type="noConversion"/>
  </si>
  <si>
    <t>Weight</t>
    <phoneticPr fontId="14" type="noConversion"/>
  </si>
  <si>
    <t>Zhuhai</t>
    <phoneticPr fontId="14" type="noConversion"/>
  </si>
  <si>
    <t>Zhongshan</t>
    <phoneticPr fontId="14" type="noConversion"/>
  </si>
  <si>
    <t>Ningbo</t>
    <phoneticPr fontId="14" type="noConversion"/>
  </si>
  <si>
    <t xml:space="preserve">GLPm tier-2- </t>
    <phoneticPr fontId="14" type="noConversion"/>
  </si>
  <si>
    <t>Jiaxing</t>
    <phoneticPr fontId="14" type="noConversion"/>
  </si>
  <si>
    <t>Kunming</t>
    <phoneticPr fontId="14" type="noConversion"/>
  </si>
  <si>
    <t>Changsha</t>
    <phoneticPr fontId="14" type="noConversion"/>
  </si>
  <si>
    <t>Nanning</t>
    <phoneticPr fontId="14" type="noConversion"/>
  </si>
  <si>
    <t>Ximen</t>
    <phoneticPr fontId="14" type="noConversion"/>
  </si>
  <si>
    <t>Nanchang</t>
    <phoneticPr fontId="14" type="noConversion"/>
  </si>
  <si>
    <t>Xi'An</t>
    <phoneticPr fontId="14" type="noConversion"/>
  </si>
  <si>
    <t>Hefei</t>
    <phoneticPr fontId="14" type="noConversion"/>
  </si>
  <si>
    <t>Wuhan</t>
    <phoneticPr fontId="14" type="noConversion"/>
  </si>
  <si>
    <t>Zhengzhou</t>
    <phoneticPr fontId="14" type="noConversion"/>
  </si>
  <si>
    <t>Jinan</t>
    <phoneticPr fontId="14" type="noConversion"/>
  </si>
  <si>
    <t xml:space="preserve">Qingdao </t>
    <phoneticPr fontId="14" type="noConversion"/>
  </si>
  <si>
    <t>Chongqing</t>
    <phoneticPr fontId="14" type="noConversion"/>
  </si>
  <si>
    <t>Dalian</t>
    <phoneticPr fontId="14" type="noConversion"/>
  </si>
  <si>
    <t>Shenyang</t>
    <phoneticPr fontId="14" type="noConversion"/>
  </si>
  <si>
    <t>Hangzhou</t>
    <phoneticPr fontId="14" type="noConversion"/>
  </si>
  <si>
    <t>GLP tier-2+</t>
    <phoneticPr fontId="14" type="noConversion"/>
  </si>
  <si>
    <t>Nanjing</t>
    <phoneticPr fontId="14" type="noConversion"/>
  </si>
  <si>
    <t>9</t>
    <phoneticPr fontId="14" type="noConversion"/>
  </si>
  <si>
    <t>Shenzheng</t>
    <phoneticPr fontId="14" type="noConversion"/>
  </si>
  <si>
    <t>** Based on incremental leverage at the project level</t>
    <phoneticPr fontId="14" type="noConversion"/>
  </si>
  <si>
    <t>Suzhou</t>
    <phoneticPr fontId="14" type="noConversion"/>
  </si>
  <si>
    <t>GLP tier-1 -</t>
    <phoneticPr fontId="14" type="noConversion"/>
  </si>
  <si>
    <t>* Deals with strategic customers agreed by EC will be regarded as special cases.</t>
    <phoneticPr fontId="14" type="noConversion"/>
  </si>
  <si>
    <t>Tianjin</t>
    <phoneticPr fontId="14" type="noConversion"/>
  </si>
  <si>
    <t>Score 5: Leverage ratio &gt;=85%</t>
    <phoneticPr fontId="14" type="noConversion"/>
  </si>
  <si>
    <t>10</t>
    <phoneticPr fontId="14" type="noConversion"/>
  </si>
  <si>
    <t>Guangzhou</t>
    <phoneticPr fontId="14" type="noConversion"/>
  </si>
  <si>
    <t>Score 4: Leverage ratio &gt;=80%, &lt;85%</t>
    <phoneticPr fontId="14" type="noConversion"/>
  </si>
  <si>
    <t>Shanghai</t>
    <phoneticPr fontId="14" type="noConversion"/>
  </si>
  <si>
    <t>GLP tier-1 +</t>
    <phoneticPr fontId="14" type="noConversion"/>
  </si>
  <si>
    <t>Score 3: Leverage ratio &gt;=75%, &lt;80%</t>
    <phoneticPr fontId="14" type="noConversion"/>
  </si>
  <si>
    <t>Beijing</t>
    <phoneticPr fontId="14" type="noConversion"/>
  </si>
  <si>
    <t>Score 2: Leverage ratio &gt;=65%, &lt;75%</t>
    <phoneticPr fontId="14" type="noConversion"/>
  </si>
  <si>
    <t>Score 1: Leverage ratio &gt;=50%, &lt;65%</t>
    <phoneticPr fontId="14" type="noConversion"/>
  </si>
  <si>
    <t>Score 0: Leverage ratio &lt;60%</t>
    <phoneticPr fontId="14" type="noConversion"/>
  </si>
  <si>
    <t>Score from 0-5</t>
    <phoneticPr fontId="14" type="noConversion"/>
  </si>
  <si>
    <t>5.  Leverage Ratio**</t>
    <phoneticPr fontId="14" type="noConversion"/>
  </si>
  <si>
    <t>1</t>
    <phoneticPr fontId="14" type="noConversion"/>
  </si>
  <si>
    <t>Others</t>
    <phoneticPr fontId="14" type="noConversion"/>
  </si>
  <si>
    <t>9</t>
  </si>
  <si>
    <t>Score 5: Others</t>
    <phoneticPr fontId="14" type="noConversion"/>
  </si>
  <si>
    <t>3</t>
    <phoneticPr fontId="14" type="noConversion"/>
  </si>
  <si>
    <r>
      <t>Non GLP faciliteis in 2 tier</t>
    </r>
    <r>
      <rPr>
        <vertAlign val="superscript"/>
        <sz val="12"/>
        <rFont val="Arial"/>
        <family val="2"/>
      </rPr>
      <t xml:space="preserve"> -</t>
    </r>
    <r>
      <rPr>
        <sz val="12"/>
        <rFont val="Arial"/>
        <family val="2"/>
      </rPr>
      <t xml:space="preserve"> logistics hubs</t>
    </r>
    <phoneticPr fontId="14" type="noConversion"/>
  </si>
  <si>
    <t>8</t>
  </si>
  <si>
    <t>Score 4: Non-GLP facilities in 2-tier logistics hubs (i.e. Nanjing, Wuxi, Hangzhou, Jiaxing, Ningbo, Qingdao, Shenyang, Dalian, Zhongshan, Zhuhai, Chengdu, Chongqing, Jinan, Zhengzhou, Wuhan, Hefei, Xi'an, Xiamen, Nanning, Changsha, Nanchang, Kunming)</t>
    <phoneticPr fontId="14" type="noConversion"/>
  </si>
  <si>
    <t>4</t>
    <phoneticPr fontId="14" type="noConversion"/>
  </si>
  <si>
    <r>
      <t>Non GLP faciliteis in 2 tier</t>
    </r>
    <r>
      <rPr>
        <vertAlign val="superscript"/>
        <sz val="12"/>
        <rFont val="Arial"/>
        <family val="2"/>
      </rPr>
      <t>+</t>
    </r>
    <r>
      <rPr>
        <sz val="12"/>
        <rFont val="Arial"/>
        <family val="2"/>
      </rPr>
      <t xml:space="preserve"> logistics hubs</t>
    </r>
    <phoneticPr fontId="14" type="noConversion"/>
  </si>
  <si>
    <t>7</t>
  </si>
  <si>
    <t>5</t>
    <phoneticPr fontId="14" type="noConversion"/>
  </si>
  <si>
    <r>
      <t>Non GLP faciliteis in 1 tier</t>
    </r>
    <r>
      <rPr>
        <vertAlign val="superscript"/>
        <sz val="12"/>
        <rFont val="Arial"/>
        <family val="2"/>
      </rPr>
      <t xml:space="preserve"> -</t>
    </r>
    <r>
      <rPr>
        <sz val="12"/>
        <rFont val="Arial"/>
        <family val="2"/>
      </rPr>
      <t xml:space="preserve"> logistics hubs</t>
    </r>
    <phoneticPr fontId="14" type="noConversion"/>
  </si>
  <si>
    <t>6</t>
  </si>
  <si>
    <t>Score 3: Non-GLP facilities in 1-tier logistics hubs (i.e. Shanghai, Guangzhou &amp; Foshan, Beijing, Tianjin, Suzhou, Shenzhen)</t>
    <phoneticPr fontId="14" type="noConversion"/>
  </si>
  <si>
    <t>6</t>
    <phoneticPr fontId="14" type="noConversion"/>
  </si>
  <si>
    <r>
      <t xml:space="preserve">Non GLP faciliteis in 1 tier </t>
    </r>
    <r>
      <rPr>
        <vertAlign val="superscript"/>
        <sz val="12"/>
        <rFont val="Arial"/>
        <family val="2"/>
      </rPr>
      <t>+</t>
    </r>
    <r>
      <rPr>
        <sz val="12"/>
        <rFont val="Arial"/>
        <family val="2"/>
      </rPr>
      <t xml:space="preserve"> logistics hubs</t>
    </r>
    <phoneticPr fontId="14" type="noConversion"/>
  </si>
  <si>
    <t>5</t>
  </si>
  <si>
    <t>e</t>
    <phoneticPr fontId="14" type="noConversion"/>
  </si>
  <si>
    <t>7</t>
    <phoneticPr fontId="14" type="noConversion"/>
  </si>
  <si>
    <r>
      <t>GLP-facilities in 2 tier</t>
    </r>
    <r>
      <rPr>
        <vertAlign val="superscript"/>
        <sz val="12"/>
        <rFont val="Arial"/>
        <family val="2"/>
      </rPr>
      <t xml:space="preserve"> -</t>
    </r>
    <r>
      <rPr>
        <sz val="12"/>
        <rFont val="Arial"/>
        <family val="2"/>
      </rPr>
      <t xml:space="preserve"> logistics hubs</t>
    </r>
    <phoneticPr fontId="14" type="noConversion"/>
  </si>
  <si>
    <t>4</t>
  </si>
  <si>
    <t>d</t>
    <phoneticPr fontId="14" type="noConversion"/>
  </si>
  <si>
    <t>8</t>
    <phoneticPr fontId="14" type="noConversion"/>
  </si>
  <si>
    <r>
      <t xml:space="preserve">GLP facilities in 2 tier </t>
    </r>
    <r>
      <rPr>
        <vertAlign val="superscript"/>
        <sz val="12"/>
        <rFont val="Arial"/>
        <family val="2"/>
      </rPr>
      <t>+</t>
    </r>
    <r>
      <rPr>
        <sz val="12"/>
        <rFont val="Arial"/>
        <family val="2"/>
      </rPr>
      <t xml:space="preserve"> logistics hubs</t>
    </r>
    <phoneticPr fontId="14" type="noConversion"/>
  </si>
  <si>
    <t>3</t>
  </si>
  <si>
    <t>Score 2: GLP facilities in 2-tier logistics hubs (i.e. Nanjing, Wuxi, Hangzhou, Jiaxing, Ningbo, Qingdao, Shenyang, Dalian, Zhongshan, Zhuhai, Chengdu, Chongqing, Jinan, Zhengzhou, Wuhan, Hefei, Xi'an, Xiamen, Nanning, Changsha, Nanchang, Kunming)</t>
    <phoneticPr fontId="14" type="noConversion"/>
  </si>
  <si>
    <t>c</t>
    <phoneticPr fontId="14" type="noConversion"/>
  </si>
  <si>
    <r>
      <t>GLP facilities in 1 tier</t>
    </r>
    <r>
      <rPr>
        <vertAlign val="superscript"/>
        <sz val="12"/>
        <rFont val="Arial"/>
        <family val="2"/>
      </rPr>
      <t xml:space="preserve"> -</t>
    </r>
    <r>
      <rPr>
        <sz val="12"/>
        <rFont val="Arial"/>
        <family val="2"/>
      </rPr>
      <t xml:space="preserve"> logstics hubs</t>
    </r>
    <phoneticPr fontId="14" type="noConversion"/>
  </si>
  <si>
    <t>2</t>
  </si>
  <si>
    <t>b</t>
    <phoneticPr fontId="14" type="noConversion"/>
  </si>
  <si>
    <r>
      <t xml:space="preserve">GLP facilities in 1 tier </t>
    </r>
    <r>
      <rPr>
        <vertAlign val="superscript"/>
        <sz val="12"/>
        <rFont val="Arial"/>
        <family val="2"/>
      </rPr>
      <t xml:space="preserve">+ </t>
    </r>
    <r>
      <rPr>
        <sz val="12"/>
        <rFont val="Arial"/>
        <family val="2"/>
      </rPr>
      <t>logstics hubs</t>
    </r>
    <phoneticPr fontId="14" type="noConversion"/>
  </si>
  <si>
    <t>Score 1: GLP facilities in 1-tier logistics hubs (i.e. Shanghai, Guangzhou &amp; Foshan, Beijing, Tianjin, Suzhou, Shenzhen)</t>
    <phoneticPr fontId="14" type="noConversion"/>
  </si>
  <si>
    <t>过程管理风险和变现风险</t>
    <phoneticPr fontId="14" type="noConversion"/>
  </si>
  <si>
    <t>a</t>
    <phoneticPr fontId="14" type="noConversion"/>
  </si>
  <si>
    <t>Non GLP faciliteis in 2 tier - logistics hubs</t>
  </si>
  <si>
    <t>Score from 1-2</t>
    <phoneticPr fontId="14" type="noConversion"/>
  </si>
  <si>
    <t>3. Utilized Location</t>
    <phoneticPr fontId="14" type="noConversion"/>
  </si>
  <si>
    <t>a</t>
  </si>
  <si>
    <t>Score</t>
    <phoneticPr fontId="14" type="noConversion"/>
  </si>
  <si>
    <t xml:space="preserve">Location of customer's facilities </t>
    <phoneticPr fontId="14" type="noConversion"/>
  </si>
  <si>
    <t xml:space="preserve">Assets Location Assessment </t>
    <phoneticPr fontId="14" type="noConversion"/>
  </si>
  <si>
    <t>=lookup(E35,E39:E47,F38:F46)</t>
    <phoneticPr fontId="14" type="noConversion"/>
  </si>
  <si>
    <t xml:space="preserve">No cooperation record with GLP, and holding mediocre reputation </t>
    <phoneticPr fontId="14" type="noConversion"/>
  </si>
  <si>
    <t>No coopearation record with GLP, but  having good market reputation</t>
    <phoneticPr fontId="14" type="noConversion"/>
  </si>
  <si>
    <t>coopearative partner with GLP, but without any material support</t>
    <phoneticPr fontId="14" type="noConversion"/>
  </si>
  <si>
    <t>cooperative partner with Other support accepted by GLP Leasing company</t>
    <phoneticPr fontId="14" type="noConversion"/>
  </si>
  <si>
    <r>
      <t xml:space="preserve">Score 3: </t>
    </r>
    <r>
      <rPr>
        <sz val="12"/>
        <rFont val="宋体"/>
        <family val="3"/>
        <charset val="134"/>
      </rPr>
      <t>与</t>
    </r>
    <r>
      <rPr>
        <sz val="12"/>
        <rFont val="Arial"/>
        <family val="2"/>
      </rPr>
      <t>GLP</t>
    </r>
    <r>
      <rPr>
        <sz val="12"/>
        <rFont val="宋体"/>
        <family val="3"/>
        <charset val="134"/>
      </rPr>
      <t>无合作</t>
    </r>
    <phoneticPr fontId="14" type="noConversion"/>
  </si>
  <si>
    <t xml:space="preserve">Coopearative partner with remarketing support  </t>
    <phoneticPr fontId="14"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</si>
  <si>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14" type="noConversion"/>
  </si>
  <si>
    <t>变现风险？</t>
    <phoneticPr fontId="14" type="noConversion"/>
  </si>
  <si>
    <t>Cooperative partner with loss share (loss pool) guarantee</t>
    <phoneticPr fontId="14"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</si>
  <si>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14" type="noConversion"/>
  </si>
  <si>
    <t xml:space="preserve">cooperative partner with repossessing guarantee </t>
    <phoneticPr fontId="14"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</si>
  <si>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14" type="noConversion"/>
  </si>
  <si>
    <t>供应商供货风险</t>
    <phoneticPr fontId="14" type="noConversion"/>
  </si>
  <si>
    <t>score</t>
    <phoneticPr fontId="14" type="noConversion"/>
  </si>
  <si>
    <t xml:space="preserve">score </t>
    <phoneticPr fontId="14" type="noConversion"/>
  </si>
  <si>
    <t>form of support</t>
    <phoneticPr fontId="14" type="noConversion"/>
  </si>
  <si>
    <t xml:space="preserve">Score from </t>
    <phoneticPr fontId="14" type="noConversion"/>
  </si>
  <si>
    <t xml:space="preserve">2.  Vendor Evaluation </t>
    <phoneticPr fontId="14" type="noConversion"/>
  </si>
  <si>
    <t>v</t>
    <phoneticPr fontId="14" type="noConversion"/>
  </si>
  <si>
    <t xml:space="preserve">Total liability/Total Assets </t>
    <phoneticPr fontId="14" type="noConversion"/>
  </si>
  <si>
    <t>6. l/t payment capacity</t>
    <phoneticPr fontId="14" type="noConversion"/>
  </si>
  <si>
    <t xml:space="preserve">(2). Cash flow from operating business/current liability </t>
    <phoneticPr fontId="14" type="noConversion"/>
  </si>
  <si>
    <t>(1). Quick ratio</t>
    <phoneticPr fontId="14" type="noConversion"/>
  </si>
  <si>
    <t>5. S/t payment capacity</t>
    <phoneticPr fontId="14" type="noConversion"/>
  </si>
  <si>
    <t>(2). Net profit growth</t>
    <phoneticPr fontId="14" type="noConversion"/>
  </si>
  <si>
    <t xml:space="preserve">(1). Gross income </t>
    <phoneticPr fontId="14" type="noConversion"/>
  </si>
  <si>
    <t>4. Growth in percentage</t>
    <phoneticPr fontId="14" type="noConversion"/>
  </si>
  <si>
    <t xml:space="preserve">Net worth/Total Assets </t>
    <phoneticPr fontId="14" type="noConversion"/>
  </si>
  <si>
    <t>3. Solvency in percentage</t>
    <phoneticPr fontId="14" type="noConversion"/>
  </si>
  <si>
    <t>9. How would the management quality be assessted?</t>
    <phoneticPr fontId="14" type="noConversion"/>
  </si>
  <si>
    <t>(4). Asset Turnover (cost of sales/Total assets )</t>
    <phoneticPr fontId="14" type="noConversion"/>
  </si>
  <si>
    <t>8. How would the volatility of the customers' core industtry segement?</t>
    <phoneticPr fontId="14" type="noConversion"/>
  </si>
  <si>
    <t>(3). Days Payables</t>
    <phoneticPr fontId="14" type="noConversion"/>
  </si>
  <si>
    <t>7. Relative to its competitors, how would the customer's performance be described in its industry segement ?</t>
    <phoneticPr fontId="14" type="noConversion"/>
  </si>
  <si>
    <t>(2). Days Receivable</t>
    <phoneticPr fontId="14" type="noConversion"/>
  </si>
  <si>
    <t>6. How will the industry outlook affect the company?</t>
    <phoneticPr fontId="14" type="noConversion"/>
  </si>
  <si>
    <t>(1). Days Inventories</t>
    <phoneticPr fontId="14" type="noConversion"/>
  </si>
  <si>
    <t>5. Business concentraion in customers and suppliers</t>
    <phoneticPr fontId="14" type="noConversion"/>
  </si>
  <si>
    <t>2. Liquidity ratio</t>
    <phoneticPr fontId="14" type="noConversion"/>
  </si>
  <si>
    <t>4. Any negative information/record in PBOC credit report/ PBOC Leasing registeration system or Litigatin records?</t>
    <phoneticPr fontId="14" type="noConversion"/>
  </si>
  <si>
    <t>(3). Rental coverage (EDITDA/Rental (including warehouse + equipment)</t>
    <phoneticPr fontId="14" type="noConversion"/>
  </si>
  <si>
    <t>3. An existing customer with GLP? How long is the relationship? And how is the rental payment pattern in the past time?</t>
    <phoneticPr fontId="14" type="noConversion"/>
  </si>
  <si>
    <t>(2). Interest coverage (EBIT/Interest)</t>
    <phoneticPr fontId="14" type="noConversion"/>
  </si>
  <si>
    <t>2. Year of Estabilishment</t>
    <phoneticPr fontId="14" type="noConversion"/>
  </si>
  <si>
    <t xml:space="preserve">(1). ROE </t>
    <phoneticPr fontId="14" type="noConversion"/>
  </si>
  <si>
    <t>1. No. of staff</t>
    <phoneticPr fontId="14" type="noConversion"/>
  </si>
  <si>
    <t xml:space="preserve">1. Performance ratio </t>
    <phoneticPr fontId="14" type="noConversion"/>
  </si>
  <si>
    <r>
      <t>客户基础评级评级（GLP现有客户及其他正常评估项目），可考虑分为</t>
    </r>
    <r>
      <rPr>
        <sz val="12"/>
        <rFont val="宋体"/>
        <family val="3"/>
        <charset val="134"/>
      </rPr>
      <t>5-6级别</t>
    </r>
    <phoneticPr fontId="14" type="noConversion"/>
  </si>
  <si>
    <t>还款风险</t>
    <phoneticPr fontId="14" type="noConversion"/>
  </si>
  <si>
    <t xml:space="preserve">non-finance factor </t>
    <phoneticPr fontId="14" type="noConversion"/>
  </si>
  <si>
    <t xml:space="preserve">Finance factor </t>
    <phoneticPr fontId="14" type="noConversion"/>
  </si>
  <si>
    <t>1.  Customer Evaluation</t>
    <phoneticPr fontId="14" type="noConversion"/>
  </si>
  <si>
    <t>Rating Score</t>
    <phoneticPr fontId="14" type="noConversion"/>
  </si>
  <si>
    <t>China Score Range and Description</t>
    <phoneticPr fontId="14" type="noConversion"/>
  </si>
  <si>
    <t>Criteria*</t>
    <phoneticPr fontId="14" type="noConversion"/>
  </si>
  <si>
    <t xml:space="preserve">Specific deal Risk Premium </t>
    <phoneticPr fontId="14" type="noConversion"/>
  </si>
  <si>
    <t>Vendor support</t>
    <phoneticPr fontId="14" type="noConversion"/>
  </si>
  <si>
    <t>Vendor support</t>
    <phoneticPr fontId="1" type="noConversion"/>
  </si>
  <si>
    <t xml:space="preserve">score </t>
    <phoneticPr fontId="1" type="noConversion"/>
  </si>
  <si>
    <t xml:space="preserve">Assets Location Assessment </t>
    <phoneticPr fontId="1" type="noConversion"/>
  </si>
  <si>
    <t xml:space="preserve">Location of customer's facilities </t>
    <phoneticPr fontId="1" type="noConversion"/>
  </si>
  <si>
    <t>Score</t>
    <phoneticPr fontId="1" type="noConversion"/>
  </si>
  <si>
    <t>Score 0: Leverage ratio &lt;50%</t>
    <phoneticPr fontId="20" type="noConversion"/>
  </si>
  <si>
    <t>4. Leverage ratio</t>
    <phoneticPr fontId="14" type="noConversion"/>
  </si>
  <si>
    <t xml:space="preserve">1. vendor support </t>
    <phoneticPr fontId="14" type="noConversion"/>
  </si>
  <si>
    <t xml:space="preserve">2. customer risk appraisal </t>
    <phoneticPr fontId="14" type="noConversion"/>
  </si>
  <si>
    <t xml:space="preserve">score </t>
    <phoneticPr fontId="1" type="noConversion"/>
  </si>
  <si>
    <t xml:space="preserve">Leverage ratio </t>
    <phoneticPr fontId="1" type="noConversion"/>
  </si>
  <si>
    <t xml:space="preserve">Sub-total score </t>
    <phoneticPr fontId="1" type="noConversion"/>
  </si>
  <si>
    <t xml:space="preserve">weight </t>
    <phoneticPr fontId="14" type="noConversion"/>
  </si>
  <si>
    <t xml:space="preserve">criterion </t>
    <phoneticPr fontId="14" type="noConversion"/>
  </si>
  <si>
    <t>Customer risk appraisal</t>
    <phoneticPr fontId="14" type="noConversion"/>
  </si>
  <si>
    <t>Assets location</t>
    <phoneticPr fontId="14" type="noConversion"/>
  </si>
  <si>
    <t>Score</t>
    <phoneticPr fontId="14" type="noConversion"/>
  </si>
  <si>
    <t xml:space="preserve">Total score </t>
    <phoneticPr fontId="14" type="noConversion"/>
  </si>
  <si>
    <t>Form of support</t>
    <phoneticPr fontId="1" type="noConversion"/>
  </si>
  <si>
    <t xml:space="preserve">Leverage ratio </t>
    <phoneticPr fontId="1" type="noConversion"/>
  </si>
  <si>
    <t xml:space="preserve">Score </t>
    <phoneticPr fontId="1" type="noConversion"/>
  </si>
  <si>
    <t>8,500,000-84,999,999</t>
    <phoneticPr fontId="1" type="noConversion"/>
  </si>
  <si>
    <t>百岁新联物流（上海）有限公司</t>
  </si>
  <si>
    <t>宝供物流企业集团有限公司</t>
  </si>
  <si>
    <t>北京东方博泰档案文件管理咨询有限公司</t>
  </si>
  <si>
    <t>北京世纪卓越快递服务有限公司</t>
  </si>
  <si>
    <t>北京洪兴尔泰装饰工程有限公司</t>
  </si>
  <si>
    <t>北京通奥物流有限公司</t>
  </si>
  <si>
    <t>超力包装（苏州）有限公司</t>
  </si>
  <si>
    <t>成都聚融中运物流有限公司</t>
  </si>
  <si>
    <t>大昌华嘉商业（中国）有限公司</t>
  </si>
  <si>
    <t>大昌三昶（上海）商贸有限公司</t>
  </si>
  <si>
    <t>大连晨丰国际物流有限公司</t>
  </si>
  <si>
    <t>重庆大足五金物流有限公司</t>
  </si>
  <si>
    <t>东方风行（上海）生活多媒体有限公司</t>
  </si>
  <si>
    <t>东方海外物流（中国）有限公司</t>
  </si>
  <si>
    <t>佛山市亨特纺织有限公司</t>
  </si>
  <si>
    <t>佛山市嘉谦纺织有限公司</t>
  </si>
  <si>
    <t>福建大汇冷藏物流股份有限公司</t>
  </si>
  <si>
    <t>固安捷（中国）工业品销售有限责任公司</t>
  </si>
  <si>
    <t>广东省邮政速递物流有限公司</t>
  </si>
  <si>
    <t>广东心怡科技物流有限公司</t>
  </si>
  <si>
    <t>广州道格贸易有限公司</t>
  </si>
  <si>
    <t>广州迈世商务服务有限公司</t>
  </si>
  <si>
    <t>广州尚岑服饰有限公司</t>
  </si>
  <si>
    <t>广州顺风速运有限公司</t>
  </si>
  <si>
    <t>广州素哥波灯具有限公司</t>
  </si>
  <si>
    <t>广州拓普森国际货运代理有限公司</t>
  </si>
  <si>
    <t>广州拓亚仓储服务有限公司</t>
  </si>
  <si>
    <t>广州旭翔国际贸易有限公司</t>
  </si>
  <si>
    <t>国药集团医药物流有限公司</t>
  </si>
  <si>
    <t>好孩子（中国）贸易有限公司</t>
  </si>
  <si>
    <t>重庆恒聚物流股份有限公司</t>
  </si>
  <si>
    <t>湖北九州舜天国际物流有限公司</t>
  </si>
  <si>
    <t>湖南九裕物流有限公司</t>
  </si>
  <si>
    <t>湖南省京阳物流有限公司</t>
  </si>
  <si>
    <t>辉联物流（北京）有限公司</t>
  </si>
  <si>
    <t>济南德邦物流有限公司</t>
  </si>
  <si>
    <t>佳通轮胎（中国）投资有限公司</t>
  </si>
  <si>
    <t>江苏安邦物流有限公司</t>
  </si>
  <si>
    <t>江苏德邦物流有限公司</t>
  </si>
  <si>
    <t>江苏海航国际物流有限公司</t>
  </si>
  <si>
    <t>精英（天津）物流有限公司</t>
  </si>
  <si>
    <t>卡宾服饰（中国）有限公司</t>
  </si>
  <si>
    <t>卡夫食品企业管理（上海）有限公司</t>
  </si>
  <si>
    <t>康明斯发动机（北京）有限公司</t>
  </si>
  <si>
    <t>蓝宝汽车部件（苏州）有限公司</t>
  </si>
  <si>
    <t>联邦快递（中国）有限公司</t>
  </si>
  <si>
    <t>辽宁朝晖骏光国际货运代理有限公司</t>
  </si>
  <si>
    <t>玫琳凯金律（杭州）日用化学品有限公司</t>
  </si>
  <si>
    <t>美泰乐科技（苏州）有限公司</t>
  </si>
  <si>
    <t>宁波泰欣国际物流有限公司</t>
  </si>
  <si>
    <t>宁波志恒物流有限公司</t>
  </si>
  <si>
    <t>宁乡县新城开发建设投资有限公司</t>
  </si>
  <si>
    <t>欧饰蒂（上海）贸易有限公司</t>
  </si>
  <si>
    <t>青岛昊翔艺术有限公司</t>
  </si>
  <si>
    <t>青岛森麒麟轮胎有限公司</t>
  </si>
  <si>
    <t>青岛鑫捷通国际物流有限公司</t>
  </si>
  <si>
    <t>曲富投资管理（上海）有限公司</t>
  </si>
  <si>
    <t>三运物流（上海）有限公司</t>
  </si>
  <si>
    <t>厦门国贸泰达物流有限公司</t>
  </si>
  <si>
    <t>上海伯络商贸有限公司</t>
  </si>
  <si>
    <t>上海大鹏国际货运有限公司</t>
  </si>
  <si>
    <t>上海得斯威国际货运有限公司</t>
  </si>
  <si>
    <t>上海凡客诚品电子商务有限公司</t>
  </si>
  <si>
    <t>上海国冠物流有限公司</t>
  </si>
  <si>
    <t>上海豪禺实业发展有限公司</t>
  </si>
  <si>
    <t>上海恒华物流有限公司</t>
  </si>
  <si>
    <t>上海汇锐比物流有限公司</t>
  </si>
  <si>
    <t>上海鲲鹏环保科技有限公司</t>
  </si>
  <si>
    <t>上海蓝图木业有限公司</t>
  </si>
  <si>
    <t>上海莲源物流有限公司</t>
  </si>
  <si>
    <t>上哈临港实业发展有限公司</t>
  </si>
  <si>
    <t>上海曼伦商贸有限公司</t>
  </si>
  <si>
    <t>上海神州数码有限公司</t>
  </si>
  <si>
    <t>上海树标物流有限公司</t>
  </si>
  <si>
    <t>上海外高桥飞驰有限公司</t>
  </si>
  <si>
    <t>上海外高桥物流中心有限公司</t>
  </si>
  <si>
    <t>上海万环国际货运代理有限公司</t>
  </si>
  <si>
    <t>上海西铁长发国际货运有限公司</t>
  </si>
  <si>
    <t>上海新友物流有限公司</t>
  </si>
  <si>
    <t>上海亚致力物流有限公司</t>
  </si>
  <si>
    <t>上海怡亚通物流有限公司</t>
  </si>
  <si>
    <t xml:space="preserve"> 上海易初莲花连锁超市有限公司</t>
  </si>
  <si>
    <t>上汽通用汽车销售有限公司</t>
  </si>
  <si>
    <t>深圳畅联国际物流有限公司</t>
  </si>
  <si>
    <t>深圳欧唯特物流服务有限公司</t>
  </si>
  <si>
    <t>深圳市华铁物流有限公司</t>
  </si>
  <si>
    <t>深圳市银雁金融配套服务有限公司</t>
  </si>
  <si>
    <t>深圳新科安达后勤保障有限公司</t>
  </si>
  <si>
    <t>沈阳苏宁物流有限公司</t>
  </si>
  <si>
    <t>狮迈（上海）贸易有限公司</t>
  </si>
  <si>
    <t>施耐德电器（中国）有限公司</t>
  </si>
  <si>
    <t>苏州君耀光电有限公司</t>
  </si>
  <si>
    <t>苏州市宝连通国际货运代理有限公司</t>
  </si>
  <si>
    <t>泰金宝科技（苏州）有限公司</t>
  </si>
  <si>
    <t>特意购乐购（中国）投资有限公司</t>
  </si>
  <si>
    <t>天津睿博龙物流有限公司</t>
  </si>
  <si>
    <t>天津睿能物流有限公司</t>
  </si>
  <si>
    <t>天津市武清开发区置业投资有限公司</t>
  </si>
  <si>
    <t>天津市西青经济开发总公司</t>
  </si>
  <si>
    <t>天津新技术产业园区武清开发区总公司</t>
  </si>
  <si>
    <t>广州唯品会信息科技有限公司</t>
  </si>
  <si>
    <t>武汉屈臣氏个人用品商店有限公司</t>
  </si>
  <si>
    <t>西安广源货运物流管理咨询服务有限公司</t>
  </si>
  <si>
    <t>新秀丽国际贸易（宁波）有限公司</t>
  </si>
  <si>
    <t>雅玛多国际物流有限公司</t>
  </si>
  <si>
    <t>亚马逊信息服务（北京）有限公司</t>
  </si>
  <si>
    <t>亚马逊卓越有限公司</t>
  </si>
  <si>
    <t>宜兴能联建材有限公司</t>
  </si>
  <si>
    <t xml:space="preserve"> 招商局物流集团北京有限公司</t>
  </si>
  <si>
    <t>中床国际物流集团有限公司</t>
  </si>
  <si>
    <t>上海联合网络通信有限公司</t>
  </si>
  <si>
    <t>上海外运物流发展有限公司</t>
  </si>
  <si>
    <t>中粮创新食品（北京）有限公司</t>
  </si>
  <si>
    <t>中山市宝昊贸易有限公司</t>
  </si>
  <si>
    <t>重庆海邦物流有限公司</t>
  </si>
  <si>
    <t>重庆科凯前卫风电设备有限责任公司</t>
  </si>
  <si>
    <t>重庆两江新开发区投资集团有限公司</t>
  </si>
  <si>
    <t>重庆添光物流有限公司</t>
  </si>
  <si>
    <t>重庆欣荣物流有限公司</t>
  </si>
  <si>
    <t>重庆延峰江森座椅有限公司</t>
  </si>
  <si>
    <t>重庆市中色货运有限公司</t>
  </si>
  <si>
    <t>重庆重视时尚购物有限公司</t>
  </si>
  <si>
    <t>重庆住商云信物流有限公司</t>
  </si>
  <si>
    <t>住商国际物流（上海）有限公司</t>
  </si>
  <si>
    <t>-</t>
    <phoneticPr fontId="5" type="noConversion"/>
  </si>
  <si>
    <t>3AA1</t>
    <phoneticPr fontId="5" type="noConversion"/>
  </si>
  <si>
    <t>GLP facilities in 1 tier logstics hubs</t>
    <phoneticPr fontId="14" type="noConversion"/>
  </si>
  <si>
    <r>
      <t xml:space="preserve">GLP facilities in 2 tier </t>
    </r>
    <r>
      <rPr>
        <sz val="12"/>
        <rFont val="Arial"/>
        <family val="2"/>
      </rPr>
      <t>logistics hubs</t>
    </r>
    <phoneticPr fontId="14" type="noConversion"/>
  </si>
  <si>
    <t xml:space="preserve">Other location </t>
    <phoneticPr fontId="14" type="noConversion"/>
  </si>
  <si>
    <t xml:space="preserve">3. assets location </t>
    <phoneticPr fontId="14" type="noConversion"/>
  </si>
  <si>
    <t xml:space="preserve">form of support </t>
    <phoneticPr fontId="14" type="noConversion"/>
  </si>
  <si>
    <t xml:space="preserve">Risk Premium </t>
    <phoneticPr fontId="1" type="noConversion"/>
  </si>
  <si>
    <t>WACC</t>
    <phoneticPr fontId="14" type="noConversion"/>
  </si>
  <si>
    <t>Ke</t>
    <phoneticPr fontId="14" type="noConversion"/>
  </si>
  <si>
    <t>Kd</t>
    <phoneticPr fontId="14" type="noConversion"/>
  </si>
  <si>
    <t xml:space="preserve">tax </t>
    <phoneticPr fontId="14" type="noConversion"/>
  </si>
  <si>
    <t>Leverage Ratio</t>
    <phoneticPr fontId="14" type="noConversion"/>
  </si>
  <si>
    <t>Leverage Ratio</t>
    <phoneticPr fontId="14" type="noConversion"/>
  </si>
  <si>
    <t>WACC</t>
    <phoneticPr fontId="1" type="noConversion"/>
  </si>
  <si>
    <t>Hurdle Rate</t>
    <phoneticPr fontId="14" type="noConversion"/>
  </si>
  <si>
    <t>"coopearative partner with GLP, but without any material support"</t>
  </si>
  <si>
    <t>-</t>
    <phoneticPr fontId="5" type="noConversion"/>
  </si>
  <si>
    <t>-</t>
    <phoneticPr fontId="5" type="noConversion"/>
  </si>
  <si>
    <t>Criteria</t>
  </si>
  <si>
    <t>Weight in Total Score</t>
  </si>
  <si>
    <t>Description</t>
  </si>
  <si>
    <t>Within Criteria</t>
  </si>
  <si>
    <t>Total Score</t>
  </si>
  <si>
    <t>Final Risk Score</t>
  </si>
  <si>
    <t>(=10-Total Score)</t>
  </si>
  <si>
    <t xml:space="preserve">Weight </t>
  </si>
  <si>
    <t>Score</t>
  </si>
  <si>
    <t>Vendor support</t>
  </si>
  <si>
    <t>Score 10: cooperative partner with repossessing guarantee</t>
  </si>
  <si>
    <t>0-10</t>
  </si>
  <si>
    <t>0-2.5</t>
  </si>
  <si>
    <t>Score 8: cooperative partner with remarketing support</t>
  </si>
  <si>
    <t>Score 6: cooperative partner with other support</t>
  </si>
  <si>
    <t>Score 4: cooperative partner with GLP, but without any material support</t>
  </si>
  <si>
    <t>Score 2: No cooperation record with GLP/GLP Finance Lease Company, but  having good market reputation</t>
  </si>
  <si>
    <t>Score 0: No cooperation record with GLP/GLP Finance Lease Company, and holding mediocre reputation</t>
  </si>
  <si>
    <t>Customer risk appraisal</t>
  </si>
  <si>
    <t>EMMA Score from D&amp;B</t>
  </si>
  <si>
    <t>Score 10: EMMA Score=1</t>
  </si>
  <si>
    <t>Score 8: EMMA Score=2</t>
  </si>
  <si>
    <t>Score 2: EMMA Score=8</t>
  </si>
  <si>
    <t>Score 1: EMMA Score=9</t>
  </si>
  <si>
    <t>Score 0: EMMA Score=10</t>
  </si>
  <si>
    <t>Composite Credit Appraisal from D&amp;B</t>
  </si>
  <si>
    <t>Score 10: Strong</t>
  </si>
  <si>
    <t>Score 8: Good</t>
  </si>
  <si>
    <t>Registered capital (RMB)</t>
  </si>
  <si>
    <t>Score 10: &gt;=450,0000,000</t>
  </si>
  <si>
    <t>0.15-1.5</t>
  </si>
  <si>
    <t>Score 9.25: 85,000,000 - 449,000,000</t>
  </si>
  <si>
    <t>Score 8.5: 8,500,000-84,999,999</t>
  </si>
  <si>
    <t>Score 7.75: 6,500,000-84,999,999</t>
  </si>
  <si>
    <t>Score 7: 4,500,000-6,499,999</t>
  </si>
  <si>
    <t>Score 6.25: 2,500,000-4,499,999</t>
  </si>
  <si>
    <t>Score 5.5: 1,750,000-2,499,999</t>
  </si>
  <si>
    <t>Score 4.75: 1,000,000-1,749,999</t>
  </si>
  <si>
    <t>Score 4: 650,000-999,999</t>
  </si>
  <si>
    <t>Score 3.25: 450,000-649,999</t>
  </si>
  <si>
    <t>Score 2.5: 300,000-449,999</t>
  </si>
  <si>
    <t>Score 1.75: 200,000-299,999</t>
  </si>
  <si>
    <t>Score 1: &lt;200,000</t>
  </si>
  <si>
    <t>GLP Customer Evaluation</t>
  </si>
  <si>
    <t xml:space="preserve">Score 10: GLP existing customer with good rental payment record </t>
  </si>
  <si>
    <t>0-1</t>
  </si>
  <si>
    <t xml:space="preserve">Score 5: GLP existing customer with delinquence histroy, but now with no overdue </t>
  </si>
  <si>
    <t>Score 0: GLP existing customer with however acceptable overdue record, or not GLP customer</t>
  </si>
  <si>
    <t>Assets location</t>
  </si>
  <si>
    <t>Score 10: 1-tier logistics hubs (i.e. Shanghai, Guangzhou &amp; Foshan, Beijing, Tianjin, Suzhou, Shenzhen)</t>
  </si>
  <si>
    <t>0.2-1</t>
  </si>
  <si>
    <t>Score 6: 2-tier logistics hubs (i.e. Nanjing, Wuxi, Hangzhou, Jiaxing, Ningbo, Qingdao, Shenyang, Dalian, Zhongshan, Zhuhai, Chengdu, Chongqing, Jinan, Zhengzhou, Wuhan, Hefei, Xi'an, Xiamen, Nanning, Changsha, Nanchang, Kunming)</t>
  </si>
  <si>
    <t>Score 2: Others</t>
  </si>
  <si>
    <t>Score 10: Leverage ratio &lt;50%</t>
  </si>
  <si>
    <t>0-1.5</t>
  </si>
  <si>
    <t>Score 8: Leverage ratio &gt;=50%, &lt;65%</t>
  </si>
  <si>
    <t>Score 6: Leverage ratio &gt;=65%, &lt;75%</t>
  </si>
  <si>
    <t>Score 4: Leverage ratio &gt;=75%, &lt;80%</t>
  </si>
  <si>
    <t>Score 2: Leverage ratio &gt;=80%, &lt;85%</t>
  </si>
  <si>
    <t>Score 0: Leverage ratio &gt;=85%</t>
  </si>
  <si>
    <t>Score 6: Fair</t>
    <phoneticPr fontId="1" type="noConversion"/>
  </si>
  <si>
    <t>Score 4: Limited</t>
    <phoneticPr fontId="1" type="noConversion"/>
  </si>
  <si>
    <t>2-10'</t>
    <phoneticPr fontId="1" type="noConversion"/>
  </si>
  <si>
    <t>Leverage rate</t>
    <phoneticPr fontId="14" type="noConversion"/>
  </si>
  <si>
    <t xml:space="preserve">Risk Premium range according to hurdle rating </t>
    <phoneticPr fontId="1" type="noConversion"/>
  </si>
  <si>
    <t>Average hurdel rate (as benchmark)</t>
    <phoneticPr fontId="1" type="noConversion"/>
  </si>
  <si>
    <t>Score 6: EMMA Score=3</t>
    <phoneticPr fontId="1" type="noConversion"/>
  </si>
  <si>
    <t>Score 5: EMMA Score=4</t>
    <phoneticPr fontId="1" type="noConversion"/>
  </si>
  <si>
    <t>Score 4: EMMA Score=5</t>
    <phoneticPr fontId="1" type="noConversion"/>
  </si>
  <si>
    <t>Score 3.2: EMMA Score=6</t>
    <phoneticPr fontId="1" type="noConversion"/>
  </si>
  <si>
    <t>Score 2.4: EMMA Score=7</t>
    <phoneticPr fontId="1" type="noConversion"/>
  </si>
  <si>
    <t>0-4.5</t>
    <phoneticPr fontId="1" type="noConversion"/>
  </si>
  <si>
    <t>Score 2: Undetermined</t>
    <phoneticPr fontId="1" type="noConversion"/>
  </si>
  <si>
    <t>0.6-3</t>
    <phoneticPr fontId="1" type="noConversion"/>
  </si>
  <si>
    <t>0.375-5</t>
    <phoneticPr fontId="1" type="noConversion"/>
  </si>
  <si>
    <t>Leverage rate</t>
    <phoneticPr fontId="1" type="noConversion"/>
  </si>
  <si>
    <t>0.57-10</t>
    <phoneticPr fontId="1" type="noConversion"/>
  </si>
  <si>
    <t>0.57-10%</t>
    <phoneticPr fontId="14" type="noConversion"/>
  </si>
  <si>
    <t xml:space="preserve">facility location </t>
    <phoneticPr fontId="1" type="noConversion"/>
  </si>
  <si>
    <t xml:space="preserve">Description </t>
    <phoneticPr fontId="14" type="noConversion"/>
  </si>
  <si>
    <t>Score</t>
    <phoneticPr fontId="14" type="noConversion"/>
  </si>
  <si>
    <t xml:space="preserve">Other location </t>
  </si>
  <si>
    <t>cooperative partner with repossessing guarantee</t>
    <phoneticPr fontId="1" type="noConversion"/>
  </si>
  <si>
    <t>Score</t>
    <phoneticPr fontId="1" type="noConversion"/>
  </si>
  <si>
    <t>cooperative partner with remarketing support</t>
    <phoneticPr fontId="1" type="noConversion"/>
  </si>
  <si>
    <t>cooperative partner with other support</t>
    <phoneticPr fontId="1" type="noConversion"/>
  </si>
  <si>
    <t>cooperative partner with GLP, but without any material support</t>
    <phoneticPr fontId="1" type="noConversion"/>
  </si>
  <si>
    <t>No cooperation record with GLP/GLP Finance Lease Company, and holding mediocre reputation</t>
    <phoneticPr fontId="1" type="noConversion"/>
  </si>
  <si>
    <t>No cooperation record with GLP/GLP Finance Lease Company, but  having good market reputation</t>
    <phoneticPr fontId="1" type="noConversion"/>
  </si>
  <si>
    <t>Criteria</t>
    <phoneticPr fontId="1" type="noConversion"/>
  </si>
  <si>
    <t>Score</t>
    <phoneticPr fontId="1" type="noConversion"/>
  </si>
  <si>
    <t>Criteria(EMMA Score=)</t>
    <phoneticPr fontId="1" type="noConversion"/>
  </si>
  <si>
    <t>Limited</t>
    <phoneticPr fontId="1" type="noConversion"/>
  </si>
  <si>
    <t>Criteria</t>
    <phoneticPr fontId="1" type="noConversion"/>
  </si>
  <si>
    <t>Score</t>
    <phoneticPr fontId="1" type="noConversion"/>
  </si>
  <si>
    <t>1-tier logistics hubs (i.e. Shanghai, Guangzhou &amp; Foshan, Beijing, Tianjin, Suzhou, Shenzhen)</t>
    <phoneticPr fontId="1" type="noConversion"/>
  </si>
  <si>
    <t>Score</t>
    <phoneticPr fontId="1" type="noConversion"/>
  </si>
  <si>
    <t>2-tier logistics hubs (i.e. Nanjing, Wuxi, Hangzhou, Jiaxing, Ningbo, Qingdao, Shenyang, Dalian, Zhongshan, Zhuhai, Chengdu, Chongqing, Jinan, Zhengzhou, Wuhan, Hefei, Xi'an, Xiamen, Nanning, Changsha, Nanchang, Kunming)</t>
    <phoneticPr fontId="1" type="noConversion"/>
  </si>
  <si>
    <t>Others</t>
    <phoneticPr fontId="1" type="noConversion"/>
  </si>
  <si>
    <t>Score</t>
    <phoneticPr fontId="1" type="noConversion"/>
  </si>
  <si>
    <t>Registered capital (RMB)</t>
    <phoneticPr fontId="1" type="noConversion"/>
  </si>
  <si>
    <t>Criteria(Registered capital)</t>
    <phoneticPr fontId="1" type="noConversion"/>
  </si>
  <si>
    <t>&lt;50%</t>
    <phoneticPr fontId="1" type="noConversion"/>
  </si>
  <si>
    <t>&gt;=85%</t>
    <phoneticPr fontId="1" type="noConversion"/>
  </si>
  <si>
    <t>传化集团有限公司</t>
    <phoneticPr fontId="5" type="noConversion"/>
  </si>
  <si>
    <t>Code</t>
    <phoneticPr fontId="5" type="noConversion"/>
  </si>
  <si>
    <t>必胜(上海)食品有限公司</t>
  </si>
  <si>
    <t>Code</t>
  </si>
  <si>
    <t>Name</t>
  </si>
  <si>
    <t>Sum</t>
  </si>
  <si>
    <t>必胜(上海)食品有限公司</t>
    <phoneticPr fontId="5" type="noConversion"/>
  </si>
  <si>
    <t>GLP existing customer with however acceptable overdue record, or not GLP customer</t>
    <phoneticPr fontId="1" type="noConversion"/>
  </si>
  <si>
    <t xml:space="preserve">GLP existing customer with good rental payment record </t>
    <phoneticPr fontId="1" type="noConversion"/>
  </si>
  <si>
    <t xml:space="preserve">GLP existing customer with delinquence histroy, but now with no overdue </t>
    <phoneticPr fontId="1" type="noConversion"/>
  </si>
  <si>
    <t>Asset locatoin</t>
    <phoneticPr fontId="5" type="noConversion"/>
  </si>
  <si>
    <t>Leverage rate</t>
    <phoneticPr fontId="5" type="noConversion"/>
  </si>
  <si>
    <t>Score</t>
    <phoneticPr fontId="1" type="noConversion"/>
  </si>
  <si>
    <t>Description</t>
    <phoneticPr fontId="1" type="noConversion"/>
  </si>
  <si>
    <t>Vendor suppport</t>
    <phoneticPr fontId="5" type="noConversion"/>
  </si>
  <si>
    <t>1-tier logistics hubs (i.e. Shanghai, Guangzhou &amp; Foshan, Beijing, Tianjin, Suzhou, Shenzhen)</t>
    <phoneticPr fontId="5" type="noConversion"/>
  </si>
  <si>
    <t>cooperative partner with remarketing support</t>
    <phoneticPr fontId="5" type="noConversion"/>
  </si>
  <si>
    <t>EMMA Score from D&amp;B</t>
    <phoneticPr fontId="1" type="noConversion"/>
  </si>
  <si>
    <t>EMMA Score from D&amp;B</t>
    <phoneticPr fontId="1" type="noConversion"/>
  </si>
  <si>
    <t>Composite Credit Appraisal from D&amp;B</t>
    <phoneticPr fontId="1" type="noConversion"/>
  </si>
  <si>
    <t>Composite Credit Appraisal</t>
    <phoneticPr fontId="1" type="noConversion"/>
  </si>
  <si>
    <t>Limited</t>
    <phoneticPr fontId="1" type="noConversion"/>
  </si>
  <si>
    <t>-</t>
    <phoneticPr fontId="1" type="noConversion"/>
  </si>
  <si>
    <t>Strong</t>
    <phoneticPr fontId="1" type="noConversion"/>
  </si>
  <si>
    <t>Good</t>
    <phoneticPr fontId="1" type="noConversion"/>
  </si>
  <si>
    <t>Fair</t>
    <phoneticPr fontId="1" type="noConversion"/>
  </si>
  <si>
    <t>Undetermined</t>
    <phoneticPr fontId="1" type="noConversion"/>
  </si>
  <si>
    <t>1</t>
    <phoneticPr fontId="1" type="noConversion"/>
  </si>
  <si>
    <t>2</t>
    <phoneticPr fontId="1" type="noConversion"/>
  </si>
  <si>
    <t>3</t>
    <phoneticPr fontId="1" type="noConversion"/>
  </si>
  <si>
    <t>4</t>
    <phoneticPr fontId="1" type="noConversion"/>
  </si>
  <si>
    <t>Strong</t>
    <phoneticPr fontId="1" type="noConversion"/>
  </si>
  <si>
    <t>Good</t>
    <phoneticPr fontId="1" type="noConversion"/>
  </si>
  <si>
    <t>Fair</t>
    <phoneticPr fontId="1" type="noConversion"/>
  </si>
  <si>
    <t>Undetermined</t>
    <phoneticPr fontId="1" type="noConversion"/>
  </si>
  <si>
    <t>&gt;=50%; &lt;65%</t>
    <phoneticPr fontId="1" type="noConversion"/>
  </si>
  <si>
    <t xml:space="preserve"> &gt;=65%;&lt;75%</t>
    <phoneticPr fontId="1" type="noConversion"/>
  </si>
  <si>
    <t>&gt;=75%;&lt;80%</t>
    <phoneticPr fontId="1" type="noConversion"/>
  </si>
  <si>
    <t>&gt;=80%; &lt;85%</t>
    <phoneticPr fontId="1" type="noConversion"/>
  </si>
  <si>
    <t>Registered capital (RMB)</t>
    <phoneticPr fontId="1" type="noConversion"/>
  </si>
  <si>
    <t>Registered Capital</t>
    <phoneticPr fontId="5" type="noConversion"/>
  </si>
  <si>
    <t>GLP Customer Evaluation</t>
    <phoneticPr fontId="1" type="noConversion"/>
  </si>
  <si>
    <t>Assets location</t>
    <phoneticPr fontId="1" type="noConversion"/>
  </si>
  <si>
    <t>Criteria(Leverage ratio)</t>
    <phoneticPr fontId="1" type="noConversion"/>
  </si>
  <si>
    <t>Name</t>
    <phoneticPr fontId="5" type="noConversion"/>
  </si>
  <si>
    <t>Current Owed</t>
  </si>
  <si>
    <t>0  - 30 Owed</t>
  </si>
  <si>
    <t>31 - 60 Owed</t>
  </si>
  <si>
    <t>61 - 90 Owed</t>
  </si>
  <si>
    <t>91-180 Owed</t>
  </si>
  <si>
    <t>Over 180 Owed</t>
  </si>
  <si>
    <t xml:space="preserve">Notes </t>
  </si>
  <si>
    <t>水电费</t>
  </si>
  <si>
    <t>GLP existing customer with however acceptable overdue record, or not GLP customer</t>
  </si>
  <si>
    <t>cooperative partner with repossessing guarantee</t>
  </si>
  <si>
    <t>2-tier logistics hubs (i.e. Nanjing, Wuxi, Hangzhou, Jiaxing, Ningbo, Qingdao, Shenyang, Dalian, Zhongshan, Zhuhai, Chengdu, Chongqing, Jinan, Zhengzhou, Wuhan, Hefei, Xi'an, Xiamen, Nanning, Changsha, Nanchang, Kunming)</t>
  </si>
  <si>
    <t>Age as of</t>
  </si>
  <si>
    <t>Age File Name</t>
  </si>
  <si>
    <t>Registered
Capital</t>
    <phoneticPr fontId="1" type="noConversion"/>
  </si>
  <si>
    <t>Renminbi (RMB)</t>
    <phoneticPr fontId="1" type="noConversion"/>
  </si>
  <si>
    <t>5AA</t>
  </si>
  <si>
    <t>&gt;=450,0000,000</t>
    <phoneticPr fontId="1" type="noConversion"/>
  </si>
  <si>
    <t>4AA</t>
  </si>
  <si>
    <t>&gt;=85,000,000;&lt;450,0000,000</t>
  </si>
  <si>
    <t>3AA</t>
  </si>
  <si>
    <t>&gt;=8,500,000;&lt;85,000,000</t>
    <phoneticPr fontId="1" type="noConversion"/>
  </si>
  <si>
    <t>2AA</t>
  </si>
  <si>
    <t>&gt;=6,500,000;&lt;8,500,000</t>
  </si>
  <si>
    <t>1AA</t>
  </si>
  <si>
    <t>&gt;=4,500,000;&lt;6,500,000</t>
  </si>
  <si>
    <t>AA</t>
  </si>
  <si>
    <t>&gt;=2,500,000;&lt;4,500,000</t>
  </si>
  <si>
    <t>BB</t>
  </si>
  <si>
    <t>&gt;=1,750,000;&lt;2,500,000</t>
    <phoneticPr fontId="1" type="noConversion"/>
  </si>
  <si>
    <t>CC</t>
  </si>
  <si>
    <t>&gt;=1,000,000;&lt;1,750,000</t>
  </si>
  <si>
    <t>DD</t>
  </si>
  <si>
    <t>&gt;=650,000;&lt;1,000,000</t>
  </si>
  <si>
    <t>EE</t>
  </si>
  <si>
    <t>&gt;=450,000;&lt;650,000</t>
  </si>
  <si>
    <t>FF</t>
  </si>
  <si>
    <t>&gt;=300,000;450,000</t>
  </si>
  <si>
    <t>GG</t>
  </si>
  <si>
    <t>&gt;=200,000;300,000</t>
  </si>
  <si>
    <t>HH</t>
  </si>
  <si>
    <t>&lt;200,000</t>
  </si>
  <si>
    <t>201405 AR&amp;OR Aging Summary - for 20800.xlsx</t>
  </si>
  <si>
    <t>GLP existing customer with however acceptable overdue record, or not GLP customer</t>
    <phoneticPr fontId="5" type="noConversion"/>
  </si>
  <si>
    <t>GLP Customer Evaluation</t>
    <phoneticPr fontId="1" type="noConversion"/>
  </si>
  <si>
    <t>必胜(上海)食品有限公司</t>
    <phoneticPr fontId="1" type="noConversion"/>
  </si>
  <si>
    <t>cooperative partner with remarketing support</t>
    <phoneticPr fontId="1" type="noConversion"/>
  </si>
  <si>
    <t>Strong</t>
    <phoneticPr fontId="1" type="noConversion"/>
  </si>
  <si>
    <t>GLP existing customer with however acceptable overdue record, or not GLP customer</t>
    <phoneticPr fontId="1" type="noConversion"/>
  </si>
  <si>
    <t>GLP Customer Evaluation</t>
    <phoneticPr fontId="5" type="noConversion"/>
  </si>
  <si>
    <t>GLP existing customer with however acceptable overdue record, or not GLP customer</t>
    <phoneticPr fontId="5" type="noConversion"/>
  </si>
  <si>
    <t>EMMA score</t>
    <phoneticPr fontId="5" type="noConversion"/>
  </si>
  <si>
    <t>D&amp;B Rating</t>
    <phoneticPr fontId="5" type="noConversion"/>
  </si>
  <si>
    <t>composite credit appraisal</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</si>
</sst>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 #,##0.00_ ;_ * \-#,##0.00_ ;_ * &quot;-&quot;??_ ;_ @_ "/>
    <numFmt numFmtId="176" formatCode="#,##0_ "/>
    <numFmt numFmtId="177" formatCode="&quot;¥&quot;#,##0_);[Red]\(&quot;¥&quot;#,##0\)"/>
    <numFmt numFmtId="178" formatCode="_ * #,##0_ ;_ * \-#,##0_ ;_ * &quot;-&quot;??_ ;_ @_ "/>
    <numFmt numFmtId="179" formatCode="0.00_ "/>
    <numFmt numFmtId="180" formatCode="0_ "/>
    <numFmt numFmtId="181" formatCode="#,##0_);[Red]\(#,##0\)"/>
    <numFmt numFmtId="182" formatCode="#,##0.00_);[Red]\(#,##0.00\)"/>
  </numFmts>
  <fonts count="38" x14ac:knownFonts="1">
    <font>
      <sz val="11"/>
      <color theme="1"/>
      <name val="宋体"/>
      <family val="2"/>
      <charset val="134"/>
      <scheme val="minor"/>
    </font>
    <font>
      <sz val="9"/>
      <name val="宋体"/>
      <family val="2"/>
      <charset val="134"/>
      <scheme val="minor"/>
    </font>
    <font>
      <sz val="9"/>
      <color indexed="81"/>
      <name val="宋体"/>
      <family val="3"/>
      <charset val="134"/>
    </font>
    <font>
      <b/>
      <sz val="9"/>
      <color indexed="81"/>
      <name val="宋体"/>
      <family val="3"/>
      <charset val="134"/>
    </font>
    <font>
      <sz val="11"/>
      <color theme="1"/>
      <name val="Arial"/>
      <family val="2"/>
    </font>
    <font>
      <sz val="9"/>
      <name val="宋体"/>
      <family val="3"/>
      <charset val="134"/>
      <scheme val="minor"/>
    </font>
    <font>
      <b/>
      <sz val="11"/>
      <color theme="1"/>
      <name val="Arial"/>
      <family val="2"/>
    </font>
    <font>
      <sz val="11"/>
      <color theme="1"/>
      <name val="宋体"/>
      <family val="2"/>
      <charset val="134"/>
      <scheme val="minor"/>
    </font>
    <font>
      <b/>
      <sz val="11"/>
      <color rgb="FFFF0000"/>
      <name val="Arial"/>
      <family val="2"/>
    </font>
    <font>
      <sz val="9"/>
      <color rgb="FFFF0000"/>
      <name val="Arial"/>
      <family val="2"/>
    </font>
    <font>
      <b/>
      <sz val="9"/>
      <color rgb="FFFF0000"/>
      <name val="Arial"/>
      <family val="2"/>
    </font>
    <font>
      <sz val="12"/>
      <name val="宋体"/>
      <family val="3"/>
      <charset val="134"/>
    </font>
    <font>
      <sz val="12"/>
      <name val="Arial"/>
      <family val="2"/>
    </font>
    <font>
      <b/>
      <sz val="12"/>
      <name val="Arial"/>
      <family val="2"/>
    </font>
    <font>
      <sz val="9"/>
      <name val="宋体"/>
      <family val="3"/>
      <charset val="134"/>
    </font>
    <font>
      <b/>
      <i/>
      <u/>
      <sz val="12"/>
      <name val="Arial"/>
      <family val="2"/>
    </font>
    <font>
      <b/>
      <i/>
      <u/>
      <sz val="12"/>
      <color rgb="FFFF0000"/>
      <name val="Arial"/>
      <family val="2"/>
    </font>
    <font>
      <b/>
      <sz val="14"/>
      <name val="Arial"/>
      <family val="2"/>
    </font>
    <font>
      <sz val="12"/>
      <color rgb="FFFF0000"/>
      <name val="Arial"/>
      <family val="2"/>
    </font>
    <font>
      <sz val="12"/>
      <name val="宋体"/>
      <family val="3"/>
      <charset val="134"/>
    </font>
    <font>
      <sz val="9"/>
      <name val="宋体"/>
      <family val="3"/>
      <charset val="134"/>
    </font>
    <font>
      <vertAlign val="superscript"/>
      <sz val="12"/>
      <name val="Arial"/>
      <family val="2"/>
    </font>
    <font>
      <b/>
      <i/>
      <sz val="12"/>
      <name val="Arial"/>
      <family val="2"/>
    </font>
    <font>
      <b/>
      <sz val="12"/>
      <color rgb="FFFF0000"/>
      <name val="Arial"/>
      <family val="2"/>
    </font>
    <font>
      <b/>
      <sz val="9"/>
      <color theme="0"/>
      <name val="Arial"/>
      <family val="2"/>
    </font>
    <font>
      <b/>
      <sz val="14"/>
      <color theme="1"/>
      <name val="Arial"/>
      <family val="2"/>
    </font>
    <font>
      <sz val="12"/>
      <color theme="1"/>
      <name val="宋体"/>
      <family val="2"/>
      <charset val="134"/>
    </font>
    <font>
      <b/>
      <sz val="11"/>
      <color rgb="FFFFFFFF"/>
      <name val="Arial Unicode MS"/>
      <family val="2"/>
      <charset val="134"/>
    </font>
    <font>
      <b/>
      <sz val="11"/>
      <color rgb="FF000000"/>
      <name val="Arial Unicode MS"/>
      <family val="2"/>
      <charset val="134"/>
    </font>
    <font>
      <sz val="11"/>
      <color rgb="FF000000"/>
      <name val="Arial Unicode MS"/>
      <family val="2"/>
      <charset val="134"/>
    </font>
    <font>
      <sz val="11"/>
      <color theme="1"/>
      <name val="Arial Unicode MS"/>
      <family val="2"/>
      <charset val="134"/>
    </font>
    <font>
      <sz val="9"/>
      <color theme="1"/>
      <name val="宋体"/>
      <family val="2"/>
      <charset val="134"/>
      <scheme val="minor"/>
    </font>
    <font>
      <b/>
      <sz val="8"/>
      <color rgb="FFFFFFFF"/>
      <name val="Arial Unicode MS"/>
      <family val="2"/>
      <charset val="134"/>
    </font>
    <font>
      <b/>
      <sz val="8"/>
      <color rgb="FF000000"/>
      <name val="Arial Unicode MS"/>
      <family val="2"/>
      <charset val="134"/>
    </font>
    <font>
      <sz val="8"/>
      <color rgb="FF000000"/>
      <name val="Arial Unicode MS"/>
      <family val="2"/>
      <charset val="134"/>
    </font>
    <font>
      <sz val="8"/>
      <color theme="1"/>
      <name val="Arial Unicode MS"/>
      <family val="2"/>
      <charset val="134"/>
    </font>
    <font>
      <b/>
      <sz val="11"/>
      <color theme="1"/>
      <name val="宋体"/>
      <family val="3"/>
      <charset val="134"/>
      <scheme val="minor"/>
    </font>
    <font>
      <b/>
      <sz val="22"/>
      <color theme="1"/>
      <name val="宋体"/>
      <family val="3"/>
      <charset val="134"/>
      <scheme val="minor"/>
    </font>
  </fonts>
  <fills count="8">
    <fill>
      <patternFill patternType="none"/>
    </fill>
    <fill>
      <patternFill patternType="gray125"/>
    </fill>
    <fill>
      <patternFill patternType="solid">
        <fgColor theme="2" tint="-0.499984740745262"/>
        <bgColor indexed="64"/>
      </patternFill>
    </fill>
    <fill>
      <patternFill patternType="solid">
        <fgColor theme="6" tint="0.39997558519241921"/>
        <bgColor indexed="64"/>
      </patternFill>
    </fill>
    <fill>
      <patternFill patternType="solid">
        <fgColor theme="1" tint="0.34998626667073579"/>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style="medium">
        <color rgb="FF000000"/>
      </bottom>
      <diagonal/>
    </border>
    <border>
      <left/>
      <right style="medium">
        <color indexed="64"/>
      </right>
      <top/>
      <bottom style="medium">
        <color rgb="FF000000"/>
      </bottom>
      <diagonal/>
    </border>
    <border>
      <left/>
      <right style="medium">
        <color rgb="FF000000"/>
      </right>
      <top/>
      <bottom/>
      <diagonal/>
    </border>
    <border>
      <left/>
      <right style="medium">
        <color rgb="FF000000"/>
      </right>
      <top/>
      <bottom style="medium">
        <color indexed="64"/>
      </bottom>
      <diagonal/>
    </border>
    <border>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rgb="FF000000"/>
      </left>
      <right style="medium">
        <color indexed="64"/>
      </right>
      <top style="medium">
        <color rgb="FF000000"/>
      </top>
      <bottom/>
      <diagonal/>
    </border>
    <border>
      <left/>
      <right style="medium">
        <color indexed="64"/>
      </right>
      <top style="medium">
        <color rgb="FF000000"/>
      </top>
      <bottom/>
      <diagonal/>
    </border>
    <border>
      <left style="medium">
        <color indexed="64"/>
      </left>
      <right style="medium">
        <color indexed="64"/>
      </right>
      <top/>
      <bottom style="thin">
        <color indexed="64"/>
      </bottom>
      <diagonal/>
    </border>
    <border>
      <left/>
      <right/>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indexed="64"/>
      </right>
      <top/>
      <bottom/>
      <diagonal/>
    </border>
    <border>
      <left style="thin">
        <color auto="1"/>
      </left>
      <right/>
      <top/>
      <bottom style="thin">
        <color auto="1"/>
      </bottom>
      <diagonal/>
    </border>
    <border>
      <left/>
      <right style="thin">
        <color indexed="64"/>
      </right>
      <top style="thin">
        <color auto="1"/>
      </top>
      <bottom/>
      <diagonal/>
    </border>
  </borders>
  <cellStyleXfs count="12">
    <xf numFmtId="0" fontId="0" fillId="0" borderId="0">
      <alignment vertical="center"/>
    </xf>
    <xf numFmtId="43"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cellStyleXfs>
  <cellXfs count="445">
    <xf numFmtId="0" fontId="0" fillId="0" borderId="0" xfId="0">
      <alignment vertical="center"/>
    </xf>
    <xf numFmtId="0" fontId="4" fillId="0" borderId="0" xfId="0" applyFont="1">
      <alignment vertical="center"/>
    </xf>
    <xf numFmtId="0" fontId="4" fillId="0" borderId="1" xfId="0" applyFont="1" applyBorder="1">
      <alignment vertical="center"/>
    </xf>
    <xf numFmtId="0" fontId="4" fillId="0" borderId="1" xfId="0" applyFont="1" applyBorder="1" applyAlignment="1">
      <alignment horizontal="right" vertical="center"/>
    </xf>
    <xf numFmtId="176" fontId="4" fillId="0" borderId="1" xfId="0" applyNumberFormat="1" applyFont="1" applyBorder="1">
      <alignment vertical="center"/>
    </xf>
    <xf numFmtId="0" fontId="0" fillId="0" borderId="1" xfId="0" applyBorder="1">
      <alignment vertical="center"/>
    </xf>
    <xf numFmtId="0" fontId="6" fillId="0" borderId="0" xfId="0" applyFont="1">
      <alignment vertical="center"/>
    </xf>
    <xf numFmtId="0" fontId="0" fillId="0" borderId="0" xfId="0" applyBorder="1">
      <alignment vertical="center"/>
    </xf>
    <xf numFmtId="0" fontId="0" fillId="0" borderId="0" xfId="0" applyAlignment="1">
      <alignment vertical="center" wrapText="1"/>
    </xf>
    <xf numFmtId="0" fontId="9" fillId="0" borderId="0" xfId="0" applyFont="1" applyBorder="1" applyAlignment="1">
      <alignment horizontal="center" vertical="center"/>
    </xf>
    <xf numFmtId="9" fontId="9" fillId="0" borderId="0" xfId="0" applyNumberFormat="1" applyFont="1" applyBorder="1" applyAlignment="1">
      <alignment horizontal="center" vertical="center"/>
    </xf>
    <xf numFmtId="0" fontId="9" fillId="0" borderId="0" xfId="0" applyFont="1" applyFill="1" applyAlignment="1">
      <alignment horizontal="center" vertical="center"/>
    </xf>
    <xf numFmtId="0" fontId="9" fillId="0" borderId="0" xfId="0" applyFont="1" applyBorder="1" applyAlignment="1">
      <alignment horizontal="center" vertical="center" wrapText="1"/>
    </xf>
    <xf numFmtId="0" fontId="10" fillId="0" borderId="0" xfId="0" applyFont="1" applyBorder="1">
      <alignment vertical="center"/>
    </xf>
    <xf numFmtId="0" fontId="9" fillId="0" borderId="0" xfId="0" applyFont="1" applyBorder="1">
      <alignment vertical="center"/>
    </xf>
    <xf numFmtId="0" fontId="12" fillId="0" borderId="0" xfId="2" applyFont="1">
      <alignment vertical="center"/>
    </xf>
    <xf numFmtId="0" fontId="12" fillId="0" borderId="0" xfId="2" applyFont="1" applyAlignment="1">
      <alignment vertical="center" wrapText="1"/>
    </xf>
    <xf numFmtId="49" fontId="12" fillId="0" borderId="0" xfId="2" applyNumberFormat="1" applyFont="1" applyAlignment="1">
      <alignment vertical="center" wrapText="1"/>
    </xf>
    <xf numFmtId="10" fontId="12" fillId="0" borderId="0" xfId="3" applyNumberFormat="1" applyFont="1" applyFill="1" applyAlignment="1">
      <alignment horizontal="right" vertical="center" wrapText="1"/>
    </xf>
    <xf numFmtId="0" fontId="12" fillId="0" borderId="0" xfId="2" applyFont="1" applyFill="1" applyAlignment="1">
      <alignment vertical="center" wrapText="1"/>
    </xf>
    <xf numFmtId="0" fontId="12" fillId="0" borderId="0" xfId="2" applyFont="1" applyFill="1" applyAlignment="1">
      <alignment horizontal="left" vertical="center" wrapText="1"/>
    </xf>
    <xf numFmtId="58" fontId="12" fillId="0" borderId="0" xfId="2" applyNumberFormat="1" applyFont="1" applyFill="1" applyAlignment="1">
      <alignment vertical="center" wrapText="1"/>
    </xf>
    <xf numFmtId="49" fontId="13" fillId="0" borderId="0" xfId="2" applyNumberFormat="1" applyFont="1" applyFill="1" applyBorder="1" applyAlignment="1">
      <alignment horizontal="left" vertical="center" wrapText="1"/>
    </xf>
    <xf numFmtId="49" fontId="12" fillId="0" borderId="0" xfId="2" applyNumberFormat="1" applyFont="1" applyFill="1" applyBorder="1" applyAlignment="1">
      <alignment horizontal="left" vertical="center" wrapText="1"/>
    </xf>
    <xf numFmtId="49" fontId="13" fillId="0" borderId="0" xfId="2" applyNumberFormat="1" applyFont="1" applyAlignment="1">
      <alignment vertical="center" wrapText="1"/>
    </xf>
    <xf numFmtId="178" fontId="12" fillId="0" borderId="0" xfId="4" applyNumberFormat="1" applyFont="1" applyFill="1" applyAlignment="1">
      <alignment horizontal="right" vertical="center" wrapText="1"/>
    </xf>
    <xf numFmtId="179" fontId="12" fillId="0" borderId="0" xfId="2" applyNumberFormat="1" applyFont="1" applyFill="1" applyAlignment="1">
      <alignment horizontal="right" vertical="center" wrapText="1"/>
    </xf>
    <xf numFmtId="0" fontId="12" fillId="0" borderId="0" xfId="2" applyFont="1" applyFill="1">
      <alignment vertical="center"/>
    </xf>
    <xf numFmtId="49" fontId="15" fillId="0" borderId="0" xfId="2" applyNumberFormat="1" applyFont="1" applyFill="1" applyBorder="1" applyAlignment="1">
      <alignment horizontal="center" vertical="center" wrapText="1"/>
    </xf>
    <xf numFmtId="0" fontId="11" fillId="0" borderId="0" xfId="2" applyFont="1" applyFill="1">
      <alignment vertical="center"/>
    </xf>
    <xf numFmtId="0" fontId="12" fillId="0" borderId="0" xfId="2" applyNumberFormat="1" applyFont="1" applyFill="1" applyBorder="1" applyAlignment="1">
      <alignment horizontal="right" vertical="center" wrapText="1"/>
    </xf>
    <xf numFmtId="0" fontId="12" fillId="0" borderId="0" xfId="2" applyNumberFormat="1" applyFont="1" applyFill="1">
      <alignment vertical="center"/>
    </xf>
    <xf numFmtId="49" fontId="12" fillId="0" borderId="5" xfId="2" applyNumberFormat="1" applyFont="1" applyFill="1" applyBorder="1" applyAlignment="1">
      <alignment vertical="center" wrapText="1"/>
    </xf>
    <xf numFmtId="49" fontId="12" fillId="0" borderId="7" xfId="2" applyNumberFormat="1" applyFont="1" applyFill="1" applyBorder="1" applyAlignment="1">
      <alignment vertical="center" wrapText="1"/>
    </xf>
    <xf numFmtId="0" fontId="11" fillId="0" borderId="0" xfId="2" applyFont="1">
      <alignment vertical="center"/>
    </xf>
    <xf numFmtId="49" fontId="15" fillId="0" borderId="9" xfId="2" applyNumberFormat="1" applyFont="1" applyFill="1" applyBorder="1" applyAlignment="1">
      <alignment vertical="center" wrapText="1"/>
    </xf>
    <xf numFmtId="49" fontId="15" fillId="0" borderId="14" xfId="2" applyNumberFormat="1" applyFont="1" applyFill="1" applyBorder="1" applyAlignment="1">
      <alignment horizontal="center" vertical="center" wrapText="1"/>
    </xf>
    <xf numFmtId="49" fontId="13" fillId="0" borderId="17" xfId="2" applyNumberFormat="1" applyFont="1" applyFill="1" applyBorder="1" applyAlignment="1">
      <alignment horizontal="center" vertical="center" wrapText="1"/>
    </xf>
    <xf numFmtId="0" fontId="13" fillId="0" borderId="18" xfId="2" applyFont="1" applyFill="1" applyBorder="1" applyAlignment="1">
      <alignment horizontal="center" vertical="center" wrapText="1"/>
    </xf>
    <xf numFmtId="49" fontId="13" fillId="0" borderId="19" xfId="2" applyNumberFormat="1" applyFont="1" applyBorder="1" applyAlignment="1">
      <alignment vertical="center" wrapText="1"/>
    </xf>
    <xf numFmtId="49" fontId="12" fillId="0" borderId="0" xfId="2" applyNumberFormat="1" applyFont="1" applyFill="1" applyAlignment="1">
      <alignment horizontal="right" vertical="center" wrapText="1"/>
    </xf>
    <xf numFmtId="49" fontId="12" fillId="0" borderId="0" xfId="4" applyNumberFormat="1" applyFont="1" applyFill="1" applyAlignment="1">
      <alignment horizontal="right" vertical="center" wrapText="1"/>
    </xf>
    <xf numFmtId="49" fontId="12" fillId="0" borderId="0" xfId="3" applyNumberFormat="1" applyFont="1" applyFill="1" applyAlignment="1">
      <alignment horizontal="right" vertical="center" wrapText="1"/>
    </xf>
    <xf numFmtId="0" fontId="12" fillId="0" borderId="0" xfId="2" applyNumberFormat="1" applyFont="1" applyAlignment="1">
      <alignment vertical="center" wrapText="1"/>
    </xf>
    <xf numFmtId="0" fontId="13" fillId="0" borderId="19" xfId="2" applyNumberFormat="1" applyFont="1" applyBorder="1" applyAlignment="1">
      <alignment vertical="center" wrapText="1"/>
    </xf>
    <xf numFmtId="0" fontId="13" fillId="0" borderId="17" xfId="2" applyNumberFormat="1" applyFont="1" applyFill="1" applyBorder="1" applyAlignment="1">
      <alignment horizontal="center" vertical="center" wrapText="1"/>
    </xf>
    <xf numFmtId="0" fontId="15" fillId="0" borderId="14" xfId="2" applyNumberFormat="1" applyFont="1" applyFill="1" applyBorder="1" applyAlignment="1">
      <alignment horizontal="center" vertical="center" wrapText="1"/>
    </xf>
    <xf numFmtId="0" fontId="12" fillId="0" borderId="0" xfId="2" applyNumberFormat="1" applyFont="1" applyFill="1" applyBorder="1" applyAlignment="1">
      <alignment horizontal="left" vertical="center" wrapText="1"/>
    </xf>
    <xf numFmtId="0" fontId="15" fillId="0" borderId="0" xfId="2" applyNumberFormat="1" applyFont="1" applyFill="1" applyBorder="1" applyAlignment="1">
      <alignment horizontal="center" vertical="center" wrapText="1"/>
    </xf>
    <xf numFmtId="0" fontId="13" fillId="0" borderId="0" xfId="2" applyNumberFormat="1" applyFont="1" applyFill="1" applyBorder="1" applyAlignment="1">
      <alignment horizontal="left" vertical="center" wrapText="1"/>
    </xf>
    <xf numFmtId="0" fontId="12" fillId="0" borderId="0" xfId="2" applyNumberFormat="1" applyFont="1" applyFill="1" applyAlignment="1">
      <alignment horizontal="right" vertical="center" wrapText="1"/>
    </xf>
    <xf numFmtId="0" fontId="12" fillId="0" borderId="0" xfId="4" applyNumberFormat="1" applyFont="1" applyFill="1" applyAlignment="1">
      <alignment horizontal="right" vertical="center" wrapText="1"/>
    </xf>
    <xf numFmtId="0" fontId="12" fillId="0" borderId="0" xfId="3" applyNumberFormat="1" applyFont="1" applyFill="1" applyAlignment="1">
      <alignment horizontal="right"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0" xfId="2" applyNumberFormat="1" applyFont="1" applyAlignment="1">
      <alignment horizontal="left" vertical="center" wrapText="1"/>
    </xf>
    <xf numFmtId="49" fontId="18" fillId="0" borderId="0" xfId="2" applyNumberFormat="1" applyFont="1" applyFill="1" applyBorder="1" applyAlignment="1">
      <alignment horizontal="right" vertical="center" wrapText="1"/>
    </xf>
    <xf numFmtId="0" fontId="18" fillId="0" borderId="0" xfId="2" applyNumberFormat="1" applyFont="1" applyFill="1" applyBorder="1" applyAlignment="1">
      <alignment horizontal="right" vertical="center" wrapText="1"/>
    </xf>
    <xf numFmtId="0" fontId="12" fillId="0" borderId="0" xfId="5" applyFont="1">
      <alignment vertical="center"/>
    </xf>
    <xf numFmtId="0" fontId="12" fillId="0" borderId="0" xfId="5" applyFont="1" applyAlignment="1">
      <alignment vertical="center" wrapText="1"/>
    </xf>
    <xf numFmtId="49" fontId="12" fillId="0" borderId="0" xfId="5" applyNumberFormat="1" applyFont="1" applyAlignment="1">
      <alignment vertical="center" wrapText="1"/>
    </xf>
    <xf numFmtId="0" fontId="12" fillId="0" borderId="0" xfId="5" applyNumberFormat="1" applyFont="1" applyAlignment="1">
      <alignment vertical="center" wrapText="1"/>
    </xf>
    <xf numFmtId="10" fontId="12" fillId="0" borderId="0" xfId="6" applyNumberFormat="1" applyFont="1" applyFill="1" applyAlignment="1">
      <alignment horizontal="right" vertical="center" wrapText="1"/>
    </xf>
    <xf numFmtId="0" fontId="12" fillId="0" borderId="0" xfId="5" applyFont="1" applyFill="1" applyAlignment="1">
      <alignment vertical="center" wrapText="1"/>
    </xf>
    <xf numFmtId="0" fontId="12" fillId="0" borderId="0" xfId="5" applyFont="1" applyFill="1" applyAlignment="1">
      <alignment horizontal="left" vertical="center" wrapText="1"/>
    </xf>
    <xf numFmtId="58" fontId="12" fillId="0" borderId="0" xfId="5" applyNumberFormat="1" applyFont="1" applyFill="1" applyAlignment="1">
      <alignment vertical="center" wrapText="1"/>
    </xf>
    <xf numFmtId="49" fontId="13" fillId="0" borderId="0" xfId="5" applyNumberFormat="1" applyFont="1" applyFill="1" applyBorder="1" applyAlignment="1">
      <alignment horizontal="left" vertical="center" wrapText="1"/>
    </xf>
    <xf numFmtId="49" fontId="12" fillId="0" borderId="0"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9" fontId="12" fillId="0" borderId="0" xfId="5" applyNumberFormat="1" applyFont="1" applyAlignment="1">
      <alignment vertical="center" wrapText="1"/>
    </xf>
    <xf numFmtId="49" fontId="13" fillId="0" borderId="0" xfId="5" applyNumberFormat="1" applyFont="1" applyAlignment="1">
      <alignment vertical="center" wrapText="1"/>
    </xf>
    <xf numFmtId="49" fontId="15" fillId="0" borderId="3" xfId="5" applyNumberFormat="1" applyFont="1" applyFill="1" applyBorder="1" applyAlignment="1">
      <alignment horizontal="center" vertical="center" wrapText="1"/>
    </xf>
    <xf numFmtId="49" fontId="12" fillId="0" borderId="0" xfId="5" applyNumberFormat="1" applyFont="1" applyAlignment="1">
      <alignment horizontal="left" vertical="center" wrapText="1"/>
    </xf>
    <xf numFmtId="0" fontId="12" fillId="0" borderId="0" xfId="6" applyNumberFormat="1" applyFont="1" applyFill="1" applyAlignment="1">
      <alignment horizontal="right" vertical="center" wrapText="1"/>
    </xf>
    <xf numFmtId="179" fontId="12" fillId="0" borderId="0" xfId="5" applyNumberFormat="1" applyFont="1" applyFill="1" applyAlignment="1">
      <alignment vertical="center" wrapText="1"/>
    </xf>
    <xf numFmtId="49" fontId="15" fillId="0" borderId="4" xfId="5" applyNumberFormat="1" applyFont="1" applyFill="1" applyBorder="1" applyAlignment="1">
      <alignment horizontal="center" vertical="center" wrapText="1"/>
    </xf>
    <xf numFmtId="178" fontId="12" fillId="0" borderId="0" xfId="7" applyNumberFormat="1" applyFont="1" applyFill="1" applyAlignment="1">
      <alignment horizontal="right" vertical="center" wrapText="1"/>
    </xf>
    <xf numFmtId="0" fontId="12" fillId="0" borderId="0" xfId="7" applyNumberFormat="1" applyFont="1" applyFill="1" applyAlignment="1">
      <alignment horizontal="right" vertical="center" wrapText="1"/>
    </xf>
    <xf numFmtId="179" fontId="12" fillId="0" borderId="0" xfId="5" applyNumberFormat="1" applyFont="1" applyFill="1" applyAlignment="1">
      <alignment horizontal="right" vertical="center" wrapText="1"/>
    </xf>
    <xf numFmtId="0" fontId="12" fillId="0" borderId="0" xfId="5" applyNumberFormat="1" applyFont="1" applyFill="1" applyAlignment="1">
      <alignment horizontal="right" vertical="center" wrapText="1"/>
    </xf>
    <xf numFmtId="49" fontId="12" fillId="0" borderId="0" xfId="5" applyNumberFormat="1" applyFont="1" applyFill="1" applyBorder="1" applyAlignment="1">
      <alignment vertical="center" wrapText="1"/>
    </xf>
    <xf numFmtId="0" fontId="13" fillId="0" borderId="0" xfId="5" applyNumberFormat="1" applyFont="1" applyFill="1" applyBorder="1" applyAlignment="1">
      <alignment horizontal="left" vertical="center" wrapText="1"/>
    </xf>
    <xf numFmtId="0" fontId="12" fillId="0" borderId="0"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2" fillId="0" borderId="3" xfId="5" applyNumberFormat="1" applyFont="1" applyFill="1" applyBorder="1" applyAlignment="1">
      <alignment vertical="center" wrapText="1"/>
    </xf>
    <xf numFmtId="0" fontId="12" fillId="0" borderId="5" xfId="5" applyNumberFormat="1" applyFont="1" applyFill="1" applyBorder="1" applyAlignment="1">
      <alignment horizontal="center" vertical="center" wrapText="1"/>
    </xf>
    <xf numFmtId="49" fontId="12" fillId="0" borderId="2" xfId="5" applyNumberFormat="1" applyFont="1" applyFill="1" applyBorder="1" applyAlignment="1">
      <alignment vertical="center" wrapText="1"/>
    </xf>
    <xf numFmtId="49" fontId="12" fillId="0" borderId="7" xfId="5" applyNumberFormat="1" applyFont="1" applyFill="1" applyBorder="1" applyAlignment="1">
      <alignment horizontal="left" vertical="center" wrapText="1"/>
    </xf>
    <xf numFmtId="0" fontId="12" fillId="0" borderId="7" xfId="5" applyNumberFormat="1" applyFont="1" applyFill="1" applyBorder="1" applyAlignment="1">
      <alignment horizontal="center" vertical="center" wrapText="1"/>
    </xf>
    <xf numFmtId="0" fontId="12" fillId="0" borderId="0" xfId="5" applyFont="1" applyFill="1">
      <alignment vertical="center"/>
    </xf>
    <xf numFmtId="49" fontId="15" fillId="0" borderId="7" xfId="5" applyNumberFormat="1" applyFont="1" applyFill="1" applyBorder="1" applyAlignment="1">
      <alignment horizontal="center" vertical="center" wrapText="1"/>
    </xf>
    <xf numFmtId="49" fontId="15" fillId="0" borderId="0" xfId="5" applyNumberFormat="1" applyFont="1" applyFill="1" applyBorder="1" applyAlignment="1">
      <alignment horizontal="center" vertical="center" wrapText="1"/>
    </xf>
    <xf numFmtId="180" fontId="12" fillId="0" borderId="0" xfId="5" applyNumberFormat="1" applyFont="1" applyFill="1" applyBorder="1" applyAlignment="1">
      <alignment horizontal="left" vertical="center" wrapText="1"/>
    </xf>
    <xf numFmtId="0" fontId="16" fillId="3" borderId="7" xfId="5" applyNumberFormat="1" applyFont="1" applyFill="1" applyBorder="1" applyAlignment="1">
      <alignment horizontal="center" vertical="center" wrapText="1"/>
    </xf>
    <xf numFmtId="9" fontId="16" fillId="3" borderId="3"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0" fontId="19" fillId="0" borderId="0" xfId="5" applyFont="1" applyFill="1">
      <alignment vertical="center"/>
    </xf>
    <xf numFmtId="0" fontId="15" fillId="0" borderId="0" xfId="5" applyNumberFormat="1" applyFont="1" applyFill="1" applyBorder="1" applyAlignment="1">
      <alignment horizontal="center" vertical="center" wrapText="1"/>
    </xf>
    <xf numFmtId="49" fontId="22" fillId="0" borderId="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0" fontId="12" fillId="0" borderId="0" xfId="5" applyNumberFormat="1" applyFont="1" applyFill="1" applyBorder="1" applyAlignment="1">
      <alignment horizontal="right" vertical="center" wrapText="1"/>
    </xf>
    <xf numFmtId="0" fontId="12" fillId="0" borderId="0" xfId="5" applyNumberFormat="1" applyFont="1" applyFill="1">
      <alignment vertical="center"/>
    </xf>
    <xf numFmtId="180" fontId="12" fillId="0" borderId="0" xfId="5" applyNumberFormat="1" applyFont="1" applyFill="1" applyBorder="1" applyAlignment="1">
      <alignment horizontal="right" vertical="center" wrapText="1"/>
    </xf>
    <xf numFmtId="49" fontId="12" fillId="0" borderId="11"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0" fontId="12" fillId="0" borderId="11" xfId="5" applyFont="1" applyFill="1" applyBorder="1">
      <alignment vertical="center"/>
    </xf>
    <xf numFmtId="49" fontId="12" fillId="0" borderId="12" xfId="5" applyNumberFormat="1" applyFont="1" applyFill="1" applyBorder="1" applyAlignment="1">
      <alignment horizontal="left" vertical="center" wrapText="1"/>
    </xf>
    <xf numFmtId="49" fontId="12" fillId="0" borderId="5" xfId="5" applyNumberFormat="1" applyFont="1" applyFill="1" applyBorder="1" applyAlignment="1">
      <alignment vertical="center" wrapText="1"/>
    </xf>
    <xf numFmtId="49" fontId="12" fillId="0" borderId="13" xfId="5" applyNumberFormat="1" applyFont="1" applyFill="1" applyBorder="1" applyAlignment="1">
      <alignment vertical="center" wrapText="1"/>
    </xf>
    <xf numFmtId="49" fontId="12" fillId="0" borderId="7" xfId="5" applyNumberFormat="1" applyFont="1" applyFill="1" applyBorder="1" applyAlignment="1">
      <alignment vertical="center" wrapText="1"/>
    </xf>
    <xf numFmtId="49" fontId="12" fillId="0" borderId="11" xfId="5" applyNumberFormat="1" applyFont="1" applyFill="1" applyBorder="1" applyAlignment="1">
      <alignment vertical="center" wrapText="1"/>
    </xf>
    <xf numFmtId="0" fontId="19" fillId="0" borderId="0" xfId="5" applyFont="1">
      <alignment vertical="center"/>
    </xf>
    <xf numFmtId="49" fontId="15" fillId="0" borderId="9" xfId="5" applyNumberFormat="1" applyFont="1" applyFill="1" applyBorder="1" applyAlignment="1">
      <alignment vertical="center" wrapText="1"/>
    </xf>
    <xf numFmtId="49" fontId="15" fillId="0" borderId="12" xfId="5" applyNumberFormat="1" applyFont="1" applyFill="1" applyBorder="1" applyAlignment="1">
      <alignment vertical="center" wrapText="1"/>
    </xf>
    <xf numFmtId="49" fontId="15" fillId="0" borderId="14" xfId="5" applyNumberFormat="1" applyFont="1" applyFill="1" applyBorder="1" applyAlignment="1">
      <alignment horizontal="center" vertical="center" wrapText="1"/>
    </xf>
    <xf numFmtId="0" fontId="15" fillId="0" borderId="14" xfId="5" applyNumberFormat="1" applyFont="1" applyFill="1" applyBorder="1" applyAlignment="1">
      <alignment horizontal="center" vertical="center" wrapText="1"/>
    </xf>
    <xf numFmtId="49" fontId="13" fillId="0" borderId="17" xfId="5" applyNumberFormat="1" applyFont="1" applyFill="1" applyBorder="1" applyAlignment="1">
      <alignment horizontal="center" vertical="center" wrapText="1"/>
    </xf>
    <xf numFmtId="0" fontId="13" fillId="0" borderId="17" xfId="5" applyNumberFormat="1" applyFont="1" applyFill="1" applyBorder="1" applyAlignment="1">
      <alignment horizontal="center" vertical="center" wrapText="1"/>
    </xf>
    <xf numFmtId="0" fontId="13" fillId="0" borderId="18" xfId="5" applyFont="1" applyFill="1" applyBorder="1" applyAlignment="1">
      <alignment horizontal="center" vertical="center" wrapText="1"/>
    </xf>
    <xf numFmtId="49" fontId="13" fillId="0" borderId="19" xfId="5" applyNumberFormat="1" applyFont="1" applyBorder="1" applyAlignment="1">
      <alignment vertical="center" wrapText="1"/>
    </xf>
    <xf numFmtId="0" fontId="13" fillId="0" borderId="19" xfId="5" applyNumberFormat="1" applyFont="1" applyBorder="1" applyAlignment="1">
      <alignment vertical="center" wrapText="1"/>
    </xf>
    <xf numFmtId="0" fontId="12" fillId="0" borderId="0" xfId="2" applyNumberFormat="1" applyFont="1" applyFill="1" applyAlignment="1">
      <alignment vertical="center" wrapText="1"/>
    </xf>
    <xf numFmtId="0" fontId="12" fillId="0" borderId="0" xfId="2" applyNumberFormat="1" applyFont="1" applyFill="1" applyAlignment="1">
      <alignment horizontal="left" vertical="center" wrapText="1"/>
    </xf>
    <xf numFmtId="0" fontId="12" fillId="0" borderId="2" xfId="2" applyNumberFormat="1" applyFont="1" applyFill="1" applyBorder="1" applyAlignment="1">
      <alignment horizontal="left" vertical="center" wrapText="1"/>
    </xf>
    <xf numFmtId="0" fontId="12" fillId="0" borderId="3" xfId="2" applyNumberFormat="1" applyFont="1" applyFill="1" applyBorder="1" applyAlignment="1">
      <alignment horizontal="left" vertical="center" wrapText="1"/>
    </xf>
    <xf numFmtId="0" fontId="15" fillId="0" borderId="3" xfId="2" applyNumberFormat="1" applyFont="1" applyFill="1" applyBorder="1" applyAlignment="1">
      <alignment horizontal="center" vertical="center" wrapText="1"/>
    </xf>
    <xf numFmtId="0" fontId="15" fillId="0" borderId="4" xfId="2" applyNumberFormat="1" applyFont="1" applyFill="1" applyBorder="1" applyAlignment="1">
      <alignment horizontal="center" vertical="center" wrapText="1"/>
    </xf>
    <xf numFmtId="49" fontId="18" fillId="0" borderId="0" xfId="2" applyNumberFormat="1" applyFont="1" applyFill="1">
      <alignment vertical="center"/>
    </xf>
    <xf numFmtId="0" fontId="23" fillId="0" borderId="0" xfId="2" applyNumberFormat="1" applyFont="1" applyFill="1" applyBorder="1" applyAlignment="1">
      <alignment horizontal="center" vertical="center" wrapText="1"/>
    </xf>
    <xf numFmtId="49" fontId="23" fillId="0" borderId="0" xfId="2" applyNumberFormat="1" applyFont="1" applyFill="1" applyBorder="1" applyAlignment="1">
      <alignment horizontal="left" vertical="center" wrapText="1"/>
    </xf>
    <xf numFmtId="49" fontId="12" fillId="0" borderId="0" xfId="2" applyNumberFormat="1" applyFont="1" applyFill="1">
      <alignment vertical="center"/>
    </xf>
    <xf numFmtId="49" fontId="12" fillId="0" borderId="0" xfId="2" applyNumberFormat="1" applyFont="1" applyFill="1" applyBorder="1" applyAlignment="1">
      <alignment horizontal="right" vertical="center" wrapText="1"/>
    </xf>
    <xf numFmtId="0" fontId="12" fillId="0" borderId="11" xfId="2" applyNumberFormat="1" applyFont="1" applyFill="1" applyBorder="1" applyAlignment="1">
      <alignment horizontal="left" vertical="center" wrapText="1"/>
    </xf>
    <xf numFmtId="0" fontId="12" fillId="0" borderId="11" xfId="2" applyNumberFormat="1" applyFont="1" applyFill="1" applyBorder="1">
      <alignment vertical="center"/>
    </xf>
    <xf numFmtId="0" fontId="12" fillId="0" borderId="12" xfId="2" applyNumberFormat="1" applyFont="1" applyFill="1" applyBorder="1" applyAlignment="1">
      <alignment horizontal="left" vertical="center" wrapText="1"/>
    </xf>
    <xf numFmtId="0" fontId="12" fillId="0" borderId="13" xfId="2" applyNumberFormat="1" applyFont="1" applyFill="1" applyBorder="1" applyAlignment="1">
      <alignment vertical="center" wrapText="1"/>
    </xf>
    <xf numFmtId="0" fontId="12" fillId="0" borderId="11" xfId="2" applyNumberFormat="1" applyFont="1" applyFill="1" applyBorder="1" applyAlignment="1">
      <alignment vertical="center" wrapText="1"/>
    </xf>
    <xf numFmtId="0" fontId="15" fillId="0" borderId="12" xfId="2" applyNumberFormat="1" applyFont="1" applyFill="1" applyBorder="1" applyAlignment="1">
      <alignment vertical="center" wrapText="1"/>
    </xf>
    <xf numFmtId="0" fontId="12" fillId="0" borderId="0" xfId="2" applyNumberFormat="1" applyFont="1">
      <alignment vertical="center"/>
    </xf>
    <xf numFmtId="0" fontId="4" fillId="0" borderId="20" xfId="0" applyFont="1" applyBorder="1">
      <alignment vertical="center"/>
    </xf>
    <xf numFmtId="0" fontId="4" fillId="0" borderId="1" xfId="0" applyFont="1" applyFill="1" applyBorder="1">
      <alignment vertical="center"/>
    </xf>
    <xf numFmtId="0" fontId="4" fillId="0" borderId="1" xfId="0" applyFont="1" applyFill="1" applyBorder="1" applyAlignment="1">
      <alignment vertical="center" wrapText="1" shrinkToFit="1"/>
    </xf>
    <xf numFmtId="49" fontId="15" fillId="0" borderId="1" xfId="2" applyNumberFormat="1" applyFont="1" applyFill="1" applyBorder="1" applyAlignment="1">
      <alignment horizontal="center" vertical="center" wrapText="1"/>
    </xf>
    <xf numFmtId="49" fontId="12" fillId="0" borderId="1" xfId="2" applyNumberFormat="1" applyFont="1" applyFill="1" applyBorder="1" applyAlignment="1">
      <alignment horizontal="left" vertical="center" wrapText="1"/>
    </xf>
    <xf numFmtId="0" fontId="12" fillId="0" borderId="1" xfId="2" applyNumberFormat="1" applyFont="1" applyFill="1" applyBorder="1" applyAlignment="1">
      <alignment horizontal="right" vertical="center" wrapText="1"/>
    </xf>
    <xf numFmtId="0" fontId="12" fillId="0" borderId="1" xfId="2" applyNumberFormat="1" applyFont="1" applyFill="1" applyBorder="1">
      <alignment vertical="center"/>
    </xf>
    <xf numFmtId="0" fontId="12" fillId="0" borderId="1" xfId="2" applyFont="1" applyFill="1" applyBorder="1">
      <alignment vertical="center"/>
    </xf>
    <xf numFmtId="0" fontId="4" fillId="0" borderId="1" xfId="0" applyFont="1" applyFill="1" applyBorder="1" applyAlignment="1">
      <alignment horizontal="center" vertical="center"/>
    </xf>
    <xf numFmtId="49" fontId="12" fillId="0" borderId="1" xfId="5" applyNumberFormat="1" applyFont="1" applyFill="1" applyBorder="1" applyAlignment="1">
      <alignment vertical="center" wrapText="1"/>
    </xf>
    <xf numFmtId="0" fontId="12" fillId="0" borderId="1" xfId="5" applyNumberFormat="1" applyFont="1" applyFill="1" applyBorder="1" applyAlignment="1">
      <alignment horizontal="center" vertical="center" wrapText="1"/>
    </xf>
    <xf numFmtId="9" fontId="18" fillId="0" borderId="0" xfId="8" applyFont="1" applyFill="1">
      <alignment vertical="center"/>
    </xf>
    <xf numFmtId="9" fontId="4" fillId="0" borderId="1" xfId="0" applyNumberFormat="1" applyFont="1" applyBorder="1">
      <alignment vertical="center"/>
    </xf>
    <xf numFmtId="49" fontId="4" fillId="0" borderId="1" xfId="0" applyNumberFormat="1" applyFont="1" applyBorder="1" applyAlignment="1">
      <alignment horizontal="right" vertical="center"/>
    </xf>
    <xf numFmtId="0" fontId="6" fillId="0" borderId="1" xfId="0" applyFont="1" applyBorder="1">
      <alignment vertical="center"/>
    </xf>
    <xf numFmtId="0" fontId="6" fillId="0" borderId="1" xfId="0" applyNumberFormat="1" applyFont="1" applyBorder="1">
      <alignment vertical="center"/>
    </xf>
    <xf numFmtId="0" fontId="24" fillId="2" borderId="15" xfId="0" applyFont="1" applyFill="1" applyBorder="1" applyAlignment="1">
      <alignment horizontal="center" vertical="center" wrapText="1"/>
    </xf>
    <xf numFmtId="0" fontId="25" fillId="5" borderId="1" xfId="0" applyFont="1" applyFill="1" applyBorder="1">
      <alignment vertical="center"/>
    </xf>
    <xf numFmtId="0" fontId="26" fillId="0" borderId="0" xfId="0" applyFont="1" applyAlignment="1">
      <alignment horizontal="left"/>
    </xf>
    <xf numFmtId="181" fontId="4" fillId="0" borderId="0" xfId="0" applyNumberFormat="1" applyFont="1">
      <alignment vertical="center"/>
    </xf>
    <xf numFmtId="182" fontId="4" fillId="0" borderId="0" xfId="0" applyNumberFormat="1" applyFont="1">
      <alignment vertical="center"/>
    </xf>
    <xf numFmtId="0" fontId="6" fillId="5" borderId="0" xfId="0" applyFont="1" applyFill="1">
      <alignment vertical="center"/>
    </xf>
    <xf numFmtId="177" fontId="6" fillId="5" borderId="0" xfId="0" applyNumberFormat="1" applyFont="1" applyFill="1" applyAlignment="1">
      <alignment horizontal="right"/>
    </xf>
    <xf numFmtId="0" fontId="18" fillId="0" borderId="0" xfId="2" applyNumberFormat="1" applyFont="1" applyFill="1">
      <alignment vertical="center"/>
    </xf>
    <xf numFmtId="0" fontId="24" fillId="2" borderId="0" xfId="0" applyFont="1" applyFill="1" applyBorder="1" applyAlignment="1">
      <alignment horizontal="center" vertical="center" wrapText="1"/>
    </xf>
    <xf numFmtId="0" fontId="24" fillId="2" borderId="21" xfId="0" applyFont="1" applyFill="1" applyBorder="1" applyAlignment="1">
      <alignment horizontal="center" vertical="center" wrapText="1"/>
    </xf>
    <xf numFmtId="9" fontId="0" fillId="0" borderId="0" xfId="0" applyNumberFormat="1">
      <alignment vertical="center"/>
    </xf>
    <xf numFmtId="0" fontId="4" fillId="0" borderId="0" xfId="0" applyFont="1" applyFill="1" applyBorder="1">
      <alignment vertical="center"/>
    </xf>
    <xf numFmtId="10" fontId="0" fillId="0" borderId="0" xfId="0" applyNumberFormat="1">
      <alignment vertical="center"/>
    </xf>
    <xf numFmtId="10" fontId="4" fillId="0" borderId="1" xfId="8" applyNumberFormat="1" applyFont="1" applyBorder="1">
      <alignment vertical="center"/>
    </xf>
    <xf numFmtId="0" fontId="6" fillId="0" borderId="0" xfId="0" applyFont="1" applyBorder="1">
      <alignment vertical="center"/>
    </xf>
    <xf numFmtId="0" fontId="6" fillId="0" borderId="0" xfId="0" applyNumberFormat="1" applyFont="1" applyBorder="1">
      <alignment vertical="center"/>
    </xf>
    <xf numFmtId="0" fontId="25" fillId="5" borderId="0" xfId="0" applyFont="1" applyFill="1" applyBorder="1">
      <alignment vertical="center"/>
    </xf>
    <xf numFmtId="10" fontId="4" fillId="0" borderId="1" xfId="0" applyNumberFormat="1" applyFont="1" applyBorder="1">
      <alignment vertical="center"/>
    </xf>
    <xf numFmtId="0" fontId="4" fillId="6" borderId="0" xfId="0" applyFont="1" applyFill="1" applyBorder="1">
      <alignment vertical="center"/>
    </xf>
    <xf numFmtId="10" fontId="4" fillId="6" borderId="1" xfId="8" applyNumberFormat="1" applyFont="1" applyFill="1" applyBorder="1">
      <alignment vertical="center"/>
    </xf>
    <xf numFmtId="9" fontId="4" fillId="6" borderId="1" xfId="0" applyNumberFormat="1" applyFont="1" applyFill="1" applyBorder="1">
      <alignment vertical="center"/>
    </xf>
    <xf numFmtId="0" fontId="0" fillId="0" borderId="0" xfId="0" applyFill="1">
      <alignment vertical="center"/>
    </xf>
    <xf numFmtId="10" fontId="4" fillId="6" borderId="1" xfId="0" applyNumberFormat="1" applyFont="1" applyFill="1" applyBorder="1">
      <alignment vertical="center"/>
    </xf>
    <xf numFmtId="0" fontId="4" fillId="0" borderId="0" xfId="0" applyFont="1" applyFill="1" applyBorder="1" applyAlignment="1">
      <alignment vertical="center" wrapText="1"/>
    </xf>
    <xf numFmtId="0" fontId="27" fillId="7" borderId="19" xfId="0" applyFont="1" applyFill="1" applyBorder="1" applyAlignment="1">
      <alignment horizontal="center" vertical="center" wrapText="1"/>
    </xf>
    <xf numFmtId="0" fontId="4" fillId="6" borderId="1" xfId="0" applyFont="1" applyFill="1" applyBorder="1">
      <alignment vertical="center"/>
    </xf>
    <xf numFmtId="9" fontId="9" fillId="6" borderId="0" xfId="0" applyNumberFormat="1" applyFont="1" applyFill="1" applyBorder="1" applyAlignment="1">
      <alignment horizontal="center" vertical="center"/>
    </xf>
    <xf numFmtId="178" fontId="9" fillId="0" borderId="0" xfId="1" applyNumberFormat="1" applyFont="1" applyBorder="1" applyAlignment="1">
      <alignment horizontal="center" vertical="center"/>
    </xf>
    <xf numFmtId="178" fontId="0" fillId="0" borderId="0" xfId="1" applyNumberFormat="1" applyFont="1">
      <alignment vertical="center"/>
    </xf>
    <xf numFmtId="0" fontId="4" fillId="6" borderId="0" xfId="0" applyFont="1" applyFill="1" applyBorder="1" applyAlignment="1">
      <alignment vertical="center" wrapText="1"/>
    </xf>
    <xf numFmtId="0" fontId="6" fillId="0" borderId="1" xfId="0" applyFont="1" applyBorder="1" applyAlignment="1">
      <alignment horizontal="center" vertical="center"/>
    </xf>
    <xf numFmtId="0" fontId="30" fillId="0" borderId="3" xfId="0" applyFont="1" applyBorder="1" applyAlignment="1">
      <alignment horizontal="left" vertical="center" wrapText="1"/>
    </xf>
    <xf numFmtId="0" fontId="29" fillId="0" borderId="7" xfId="0" applyFont="1" applyBorder="1" applyAlignment="1">
      <alignment horizontal="center" vertical="center" wrapText="1"/>
    </xf>
    <xf numFmtId="0" fontId="27" fillId="7" borderId="8"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31" fillId="0" borderId="0" xfId="0" applyFont="1">
      <alignment vertical="center"/>
    </xf>
    <xf numFmtId="0" fontId="32" fillId="7" borderId="9"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9"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4" fillId="0" borderId="7" xfId="0" applyFont="1" applyBorder="1" applyAlignment="1">
      <alignment horizontal="left" vertical="center" wrapText="1"/>
    </xf>
    <xf numFmtId="0" fontId="34" fillId="0" borderId="5" xfId="0" applyFont="1" applyBorder="1" applyAlignment="1">
      <alignment horizontal="left" vertical="center" wrapText="1"/>
    </xf>
    <xf numFmtId="0" fontId="35" fillId="0" borderId="6" xfId="0" applyFont="1" applyBorder="1" applyAlignment="1">
      <alignment vertical="center" wrapText="1"/>
    </xf>
    <xf numFmtId="0" fontId="34" fillId="0" borderId="0" xfId="0" applyFont="1" applyAlignment="1">
      <alignment horizontal="left" vertical="center" wrapText="1"/>
    </xf>
    <xf numFmtId="0" fontId="34" fillId="0" borderId="19" xfId="0" applyFont="1" applyBorder="1" applyAlignment="1">
      <alignment horizontal="left" vertical="center" wrapText="1"/>
    </xf>
    <xf numFmtId="0" fontId="33" fillId="0" borderId="10" xfId="0" applyFont="1" applyBorder="1" applyAlignment="1">
      <alignment vertical="center" wrapText="1"/>
    </xf>
    <xf numFmtId="9" fontId="34" fillId="0" borderId="30" xfId="0" applyNumberFormat="1" applyFont="1" applyBorder="1" applyAlignment="1">
      <alignment vertical="center" wrapText="1"/>
    </xf>
    <xf numFmtId="0" fontId="33" fillId="0" borderId="8" xfId="0" applyFont="1" applyBorder="1" applyAlignment="1">
      <alignment vertical="center" wrapText="1"/>
    </xf>
    <xf numFmtId="9" fontId="34" fillId="0" borderId="8" xfId="0" applyNumberFormat="1" applyFont="1" applyBorder="1" applyAlignment="1">
      <alignment vertical="center" wrapText="1"/>
    </xf>
    <xf numFmtId="0" fontId="30" fillId="0" borderId="3" xfId="0" applyFont="1" applyBorder="1" applyAlignment="1">
      <alignment vertical="center" wrapText="1"/>
    </xf>
    <xf numFmtId="0" fontId="30" fillId="0" borderId="2" xfId="0" applyFont="1" applyBorder="1" applyAlignment="1">
      <alignment vertical="center" wrapText="1"/>
    </xf>
    <xf numFmtId="0" fontId="30" fillId="0" borderId="0" xfId="0" applyFont="1" applyBorder="1" applyAlignment="1">
      <alignment horizontal="left" vertical="center" wrapText="1"/>
    </xf>
    <xf numFmtId="0" fontId="30" fillId="0" borderId="19" xfId="0" applyFont="1" applyBorder="1" applyAlignment="1">
      <alignment horizontal="left" vertical="center" wrapText="1"/>
    </xf>
    <xf numFmtId="0" fontId="30" fillId="0" borderId="0" xfId="0" applyFont="1" applyBorder="1" applyAlignment="1">
      <alignment horizontal="center" vertical="center" wrapText="1"/>
    </xf>
    <xf numFmtId="0" fontId="30" fillId="0" borderId="4" xfId="0" applyFont="1" applyBorder="1" applyAlignment="1">
      <alignment horizontal="center" vertical="center" wrapText="1"/>
    </xf>
    <xf numFmtId="179" fontId="29" fillId="0" borderId="7" xfId="0" applyNumberFormat="1" applyFont="1" applyBorder="1" applyAlignment="1">
      <alignment horizontal="right" vertical="center" wrapText="1"/>
    </xf>
    <xf numFmtId="179" fontId="29" fillId="0" borderId="5" xfId="0" applyNumberFormat="1" applyFont="1" applyBorder="1" applyAlignment="1">
      <alignment horizontal="right" vertical="center" wrapText="1"/>
    </xf>
    <xf numFmtId="0" fontId="29" fillId="0" borderId="7" xfId="0" applyFont="1" applyBorder="1" applyAlignment="1">
      <alignment horizontal="right" vertical="center" wrapText="1"/>
    </xf>
    <xf numFmtId="180" fontId="30" fillId="0" borderId="3" xfId="0" applyNumberFormat="1" applyFont="1" applyBorder="1" applyAlignment="1">
      <alignment horizontal="right" vertical="top" wrapText="1"/>
    </xf>
    <xf numFmtId="180" fontId="30" fillId="0" borderId="3" xfId="0" applyNumberFormat="1" applyFont="1" applyBorder="1" applyAlignment="1">
      <alignment horizontal="right" vertical="center" wrapText="1"/>
    </xf>
    <xf numFmtId="180" fontId="30" fillId="0" borderId="2" xfId="0" applyNumberFormat="1" applyFont="1" applyBorder="1" applyAlignment="1">
      <alignment horizontal="right" vertical="center" wrapText="1"/>
    </xf>
    <xf numFmtId="0" fontId="30" fillId="0" borderId="5" xfId="0" applyFont="1" applyBorder="1" applyAlignment="1">
      <alignment horizontal="right" vertical="center" wrapText="1"/>
    </xf>
    <xf numFmtId="0" fontId="30"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29" fillId="0" borderId="3" xfId="0" applyFont="1" applyBorder="1" applyAlignment="1">
      <alignment vertical="center" wrapText="1"/>
    </xf>
    <xf numFmtId="0" fontId="29" fillId="0" borderId="4" xfId="0" applyFont="1" applyBorder="1" applyAlignment="1">
      <alignment horizontal="center" vertical="center" wrapText="1"/>
    </xf>
    <xf numFmtId="0" fontId="29" fillId="0" borderId="2" xfId="0" applyFont="1" applyBorder="1" applyAlignment="1">
      <alignment vertical="center" wrapText="1"/>
    </xf>
    <xf numFmtId="0" fontId="29" fillId="0" borderId="0" xfId="0" applyFont="1" applyAlignment="1">
      <alignment horizontal="right" vertical="center" wrapText="1"/>
    </xf>
    <xf numFmtId="0" fontId="29" fillId="0" borderId="19" xfId="0" applyFont="1" applyBorder="1" applyAlignment="1">
      <alignment horizontal="right" vertical="center" wrapText="1"/>
    </xf>
    <xf numFmtId="0" fontId="4" fillId="0" borderId="0" xfId="0" applyFont="1" applyAlignment="1">
      <alignment horizontal="center" vertical="center"/>
    </xf>
    <xf numFmtId="0" fontId="29" fillId="0" borderId="0" xfId="0" applyFont="1" applyAlignment="1">
      <alignment horizontal="center" vertical="center" wrapText="1"/>
    </xf>
    <xf numFmtId="49" fontId="0" fillId="0" borderId="0" xfId="0" applyNumberFormat="1" applyAlignment="1">
      <alignment vertical="center" wrapText="1"/>
    </xf>
    <xf numFmtId="0" fontId="36" fillId="5" borderId="0" xfId="0" applyFont="1" applyFill="1" applyAlignment="1">
      <alignment horizontal="center" vertical="center"/>
    </xf>
    <xf numFmtId="0" fontId="36" fillId="5" borderId="0" xfId="0" applyFont="1" applyFill="1">
      <alignment vertical="center"/>
    </xf>
    <xf numFmtId="0" fontId="30" fillId="0" borderId="0" xfId="0" applyFont="1" applyBorder="1" applyAlignment="1">
      <alignment horizontal="center" vertical="center" wrapText="1"/>
    </xf>
    <xf numFmtId="0" fontId="36" fillId="5" borderId="0" xfId="0" applyFont="1" applyFill="1" applyAlignment="1">
      <alignment vertical="center" wrapText="1"/>
    </xf>
    <xf numFmtId="0" fontId="29" fillId="0" borderId="0" xfId="0" applyFont="1" applyBorder="1" applyAlignment="1">
      <alignment horizontal="center" vertical="center" wrapText="1"/>
    </xf>
    <xf numFmtId="0" fontId="30" fillId="0" borderId="0" xfId="0" applyFont="1" applyBorder="1" applyAlignment="1">
      <alignment vertical="center" wrapText="1"/>
    </xf>
    <xf numFmtId="9" fontId="29" fillId="0" borderId="0" xfId="0" applyNumberFormat="1" applyFont="1" applyBorder="1" applyAlignment="1">
      <alignment horizontal="center" vertical="center" wrapText="1"/>
    </xf>
    <xf numFmtId="0" fontId="27" fillId="7" borderId="35" xfId="0" applyFont="1" applyFill="1" applyBorder="1" applyAlignment="1">
      <alignment horizontal="center" vertical="center" wrapText="1"/>
    </xf>
    <xf numFmtId="0" fontId="27" fillId="7" borderId="36" xfId="0" applyFont="1" applyFill="1" applyBorder="1" applyAlignment="1">
      <alignment horizontal="center" vertical="center" wrapText="1"/>
    </xf>
    <xf numFmtId="0" fontId="28" fillId="0" borderId="37" xfId="0" applyFont="1" applyBorder="1" applyAlignment="1">
      <alignment horizontal="center" vertical="center" wrapText="1"/>
    </xf>
    <xf numFmtId="0" fontId="28" fillId="0" borderId="34" xfId="0" applyFont="1" applyBorder="1" applyAlignment="1">
      <alignment horizontal="center" vertical="center" wrapText="1"/>
    </xf>
    <xf numFmtId="9" fontId="29" fillId="0" borderId="34" xfId="0" applyNumberFormat="1" applyFont="1" applyBorder="1" applyAlignment="1">
      <alignment horizontal="center" vertical="center" wrapText="1"/>
    </xf>
    <xf numFmtId="0" fontId="30" fillId="0" borderId="34" xfId="0" applyFont="1" applyBorder="1" applyAlignment="1">
      <alignment horizontal="center" vertical="center" wrapText="1"/>
    </xf>
    <xf numFmtId="0" fontId="29" fillId="0" borderId="34" xfId="0" applyFont="1" applyBorder="1" applyAlignment="1">
      <alignment horizontal="center" vertical="center" wrapText="1"/>
    </xf>
    <xf numFmtId="0" fontId="27" fillId="7" borderId="35" xfId="0" applyFont="1" applyFill="1" applyBorder="1" applyAlignment="1">
      <alignment vertical="center" wrapText="1"/>
    </xf>
    <xf numFmtId="0" fontId="0" fillId="0" borderId="0" xfId="0" applyBorder="1" applyAlignment="1">
      <alignment vertical="center" wrapText="1"/>
    </xf>
    <xf numFmtId="9" fontId="0" fillId="0" borderId="0" xfId="0" applyNumberFormat="1" applyAlignment="1">
      <alignment vertical="center" wrapText="1"/>
    </xf>
    <xf numFmtId="49" fontId="36" fillId="5" borderId="0" xfId="0" applyNumberFormat="1" applyFont="1" applyFill="1" applyAlignment="1">
      <alignment vertical="center" wrapText="1"/>
    </xf>
    <xf numFmtId="49" fontId="0" fillId="0" borderId="0" xfId="0" applyNumberFormat="1" applyAlignment="1" applyProtection="1">
      <alignment vertical="center" wrapText="1"/>
      <protection locked="0"/>
    </xf>
    <xf numFmtId="0" fontId="30" fillId="0" borderId="39" xfId="0" applyFont="1" applyBorder="1">
      <alignment vertical="center"/>
    </xf>
    <xf numFmtId="0" fontId="30" fillId="0" borderId="20" xfId="0" applyFont="1" applyBorder="1">
      <alignment vertical="center"/>
    </xf>
    <xf numFmtId="49" fontId="30" fillId="0" borderId="39" xfId="0" applyNumberFormat="1" applyFont="1" applyBorder="1">
      <alignment vertical="center"/>
    </xf>
    <xf numFmtId="49" fontId="30" fillId="0" borderId="20" xfId="0" applyNumberFormat="1" applyFont="1" applyBorder="1">
      <alignment vertical="center"/>
    </xf>
    <xf numFmtId="176" fontId="30" fillId="0" borderId="0" xfId="0" applyNumberFormat="1" applyFont="1" applyBorder="1" applyAlignment="1">
      <alignment vertical="center" wrapText="1"/>
    </xf>
    <xf numFmtId="9" fontId="30" fillId="0" borderId="34" xfId="0" applyNumberFormat="1" applyFont="1" applyBorder="1" applyAlignment="1">
      <alignment horizontal="center" vertical="center" wrapText="1"/>
    </xf>
    <xf numFmtId="179" fontId="29" fillId="0" borderId="0" xfId="0" applyNumberFormat="1" applyFont="1" applyBorder="1" applyAlignment="1">
      <alignment horizontal="center" vertical="center" wrapText="1"/>
    </xf>
    <xf numFmtId="14" fontId="0" fillId="0" borderId="0" xfId="0" applyNumberFormat="1">
      <alignment vertical="center"/>
    </xf>
    <xf numFmtId="0" fontId="0" fillId="0" borderId="37" xfId="0" applyBorder="1">
      <alignment vertical="center"/>
    </xf>
    <xf numFmtId="0" fontId="0" fillId="0" borderId="40" xfId="0" applyBorder="1">
      <alignment vertical="center"/>
    </xf>
    <xf numFmtId="0" fontId="0" fillId="0" borderId="21" xfId="0" applyBorder="1">
      <alignment vertical="center"/>
    </xf>
    <xf numFmtId="0" fontId="0" fillId="0" borderId="38" xfId="0" applyBorder="1">
      <alignment vertical="center"/>
    </xf>
    <xf numFmtId="0" fontId="30" fillId="7" borderId="36" xfId="0" applyFont="1" applyFill="1" applyBorder="1" applyAlignment="1">
      <alignment vertical="center" wrapText="1"/>
    </xf>
    <xf numFmtId="0" fontId="30" fillId="7" borderId="41" xfId="0" applyFont="1" applyFill="1" applyBorder="1">
      <alignment vertical="center"/>
    </xf>
    <xf numFmtId="0" fontId="0" fillId="0" borderId="0" xfId="0" applyAlignment="1">
      <alignment horizontal="center" vertical="center"/>
    </xf>
    <xf numFmtId="0" fontId="6" fillId="0" borderId="0" xfId="0" applyFont="1" applyAlignment="1">
      <alignment horizontal="center" vertical="center"/>
    </xf>
    <xf numFmtId="0" fontId="8" fillId="0" borderId="0" xfId="0" applyFont="1" applyBorder="1" applyAlignment="1">
      <alignment horizontal="center" vertical="center"/>
    </xf>
    <xf numFmtId="0" fontId="4" fillId="0" borderId="1" xfId="0" applyFont="1" applyBorder="1" applyAlignment="1">
      <alignment horizontal="center" vertical="center"/>
    </xf>
    <xf numFmtId="49" fontId="17" fillId="0" borderId="0" xfId="5" applyNumberFormat="1" applyFont="1" applyAlignment="1">
      <alignment horizontal="left" vertical="center" wrapText="1"/>
    </xf>
    <xf numFmtId="49" fontId="13" fillId="0" borderId="16" xfId="5" applyNumberFormat="1" applyFont="1" applyFill="1" applyBorder="1" applyAlignment="1">
      <alignment horizontal="center" vertical="center" wrapText="1"/>
    </xf>
    <xf numFmtId="49" fontId="13" fillId="0" borderId="15" xfId="5" applyNumberFormat="1" applyFont="1" applyFill="1" applyBorder="1" applyAlignment="1">
      <alignment horizontal="center" vertical="center" wrapText="1"/>
    </xf>
    <xf numFmtId="49" fontId="13" fillId="0" borderId="4" xfId="5" applyNumberFormat="1" applyFont="1" applyFill="1" applyBorder="1" applyAlignment="1">
      <alignment horizontal="left" vertical="center" wrapText="1"/>
    </xf>
    <xf numFmtId="49" fontId="13" fillId="0" borderId="3" xfId="5" applyNumberFormat="1" applyFont="1" applyFill="1" applyBorder="1" applyAlignment="1">
      <alignment horizontal="left" vertical="center" wrapText="1"/>
    </xf>
    <xf numFmtId="49" fontId="13" fillId="0" borderId="2" xfId="5" applyNumberFormat="1" applyFont="1" applyFill="1" applyBorder="1" applyAlignment="1">
      <alignment horizontal="left" vertical="center" wrapText="1"/>
    </xf>
    <xf numFmtId="49" fontId="15" fillId="0" borderId="4"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49" fontId="19" fillId="0" borderId="3" xfId="5" applyNumberFormat="1" applyFont="1" applyFill="1" applyBorder="1" applyAlignment="1">
      <alignment horizontal="left" vertical="center" wrapText="1"/>
    </xf>
    <xf numFmtId="49" fontId="12" fillId="0" borderId="7"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3" fillId="0" borderId="1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10" fontId="12" fillId="0" borderId="0" xfId="6" applyNumberFormat="1" applyFont="1" applyFill="1" applyAlignment="1">
      <alignment horizontal="center" vertical="center" wrapText="1"/>
    </xf>
    <xf numFmtId="49" fontId="12" fillId="0" borderId="0" xfId="5" applyNumberFormat="1" applyFont="1" applyAlignment="1">
      <alignment horizontal="left" vertical="center" wrapText="1"/>
    </xf>
    <xf numFmtId="49" fontId="13" fillId="0" borderId="6" xfId="5" applyNumberFormat="1" applyFont="1" applyFill="1" applyBorder="1" applyAlignment="1">
      <alignment horizontal="left" vertical="center" wrapText="1"/>
    </xf>
    <xf numFmtId="49" fontId="18" fillId="4" borderId="0" xfId="2" applyNumberFormat="1" applyFont="1" applyFill="1" applyBorder="1" applyAlignment="1">
      <alignment horizontal="center" vertical="center" wrapText="1"/>
    </xf>
    <xf numFmtId="10" fontId="12" fillId="0" borderId="0" xfId="3" applyNumberFormat="1" applyFont="1" applyFill="1" applyAlignment="1">
      <alignment horizontal="center" vertical="center" wrapText="1"/>
    </xf>
    <xf numFmtId="49" fontId="12" fillId="0" borderId="3" xfId="2" applyNumberFormat="1" applyFont="1" applyFill="1" applyBorder="1" applyAlignment="1">
      <alignment horizontal="center" vertical="center" wrapText="1"/>
    </xf>
    <xf numFmtId="49" fontId="12" fillId="0" borderId="0" xfId="2" applyNumberFormat="1" applyFont="1" applyFill="1" applyBorder="1" applyAlignment="1">
      <alignment horizontal="center" vertical="center" wrapText="1"/>
    </xf>
    <xf numFmtId="49" fontId="12" fillId="0" borderId="0" xfId="2" applyNumberFormat="1" applyFont="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179" fontId="12" fillId="0" borderId="0" xfId="2" applyNumberFormat="1" applyFont="1" applyFill="1" applyAlignment="1">
      <alignment horizontal="center" vertical="center" wrapText="1"/>
    </xf>
    <xf numFmtId="49" fontId="12" fillId="0" borderId="2"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10"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3" fillId="0" borderId="6" xfId="2" applyNumberFormat="1" applyFont="1" applyFill="1" applyBorder="1" applyAlignment="1">
      <alignment horizontal="left" vertical="center" wrapText="1"/>
    </xf>
    <xf numFmtId="49" fontId="15" fillId="0" borderId="4" xfId="2" applyNumberFormat="1" applyFont="1" applyFill="1" applyBorder="1" applyAlignment="1">
      <alignment horizontal="center" vertical="center" wrapText="1"/>
    </xf>
    <xf numFmtId="49" fontId="15" fillId="0" borderId="9" xfId="2" applyNumberFormat="1" applyFont="1" applyFill="1" applyBorder="1" applyAlignment="1">
      <alignment horizontal="center" vertical="center" wrapText="1"/>
    </xf>
    <xf numFmtId="49" fontId="17" fillId="0" borderId="0" xfId="2" applyNumberFormat="1" applyFont="1" applyAlignment="1">
      <alignment horizontal="left" vertical="center" wrapText="1"/>
    </xf>
    <xf numFmtId="49" fontId="13" fillId="0" borderId="16" xfId="2" applyNumberFormat="1" applyFont="1" applyFill="1" applyBorder="1" applyAlignment="1">
      <alignment horizontal="center" vertical="center" wrapText="1"/>
    </xf>
    <xf numFmtId="49" fontId="13" fillId="0" borderId="15" xfId="2" applyNumberFormat="1" applyFont="1" applyFill="1" applyBorder="1" applyAlignment="1">
      <alignment horizontal="center" vertical="center" wrapText="1"/>
    </xf>
    <xf numFmtId="49" fontId="13" fillId="0" borderId="4" xfId="2" applyNumberFormat="1" applyFont="1" applyFill="1" applyBorder="1" applyAlignment="1">
      <alignment horizontal="left" vertical="center" wrapText="1"/>
    </xf>
    <xf numFmtId="49" fontId="13" fillId="0" borderId="3" xfId="2" applyNumberFormat="1" applyFont="1" applyFill="1" applyBorder="1" applyAlignment="1">
      <alignment horizontal="left" vertical="center" wrapText="1"/>
    </xf>
    <xf numFmtId="49" fontId="13" fillId="0" borderId="2" xfId="2" applyNumberFormat="1" applyFont="1" applyFill="1" applyBorder="1" applyAlignment="1">
      <alignment horizontal="left" vertical="center" wrapText="1"/>
    </xf>
    <xf numFmtId="49" fontId="11" fillId="0" borderId="3" xfId="2" applyNumberFormat="1" applyFont="1" applyFill="1" applyBorder="1" applyAlignment="1">
      <alignment horizontal="left" vertical="center" wrapText="1"/>
    </xf>
    <xf numFmtId="0" fontId="36" fillId="7" borderId="37" xfId="0" applyFont="1" applyFill="1" applyBorder="1" applyAlignment="1">
      <alignment horizontal="center" vertical="center"/>
    </xf>
    <xf numFmtId="0" fontId="36" fillId="7" borderId="21" xfId="0" applyFont="1" applyFill="1" applyBorder="1" applyAlignment="1">
      <alignment horizontal="center" vertical="center"/>
    </xf>
    <xf numFmtId="0" fontId="28" fillId="0" borderId="10" xfId="0" applyFont="1" applyBorder="1" applyAlignment="1">
      <alignment horizontal="center" vertical="center" wrapText="1"/>
    </xf>
    <xf numFmtId="0" fontId="28" fillId="0" borderId="8" xfId="0" applyFont="1" applyBorder="1" applyAlignment="1">
      <alignment horizontal="center" vertical="center" wrapText="1"/>
    </xf>
    <xf numFmtId="0" fontId="28" fillId="0" borderId="22" xfId="0" applyFont="1" applyBorder="1" applyAlignment="1">
      <alignment horizontal="center" vertical="center" wrapText="1"/>
    </xf>
    <xf numFmtId="9" fontId="29" fillId="0" borderId="8" xfId="0" applyNumberFormat="1" applyFont="1" applyBorder="1" applyAlignment="1">
      <alignment horizontal="center" vertical="center" wrapText="1"/>
    </xf>
    <xf numFmtId="9" fontId="29" fillId="0" borderId="22" xfId="0" applyNumberFormat="1" applyFont="1" applyBorder="1" applyAlignment="1">
      <alignment horizontal="center" vertical="center" wrapText="1"/>
    </xf>
    <xf numFmtId="0" fontId="30" fillId="0" borderId="14" xfId="0" applyFont="1" applyBorder="1" applyAlignment="1">
      <alignment horizontal="center" vertical="center" wrapText="1"/>
    </xf>
    <xf numFmtId="0" fontId="30" fillId="0" borderId="26" xfId="0" applyFont="1" applyBorder="1" applyAlignment="1">
      <alignment horizontal="center" vertical="center" wrapText="1"/>
    </xf>
    <xf numFmtId="180" fontId="30" fillId="0" borderId="0" xfId="0" applyNumberFormat="1" applyFont="1" applyBorder="1" applyAlignment="1">
      <alignment horizontal="center" vertical="top" wrapText="1"/>
    </xf>
    <xf numFmtId="180" fontId="30" fillId="0" borderId="24" xfId="0" applyNumberFormat="1" applyFont="1" applyBorder="1" applyAlignment="1">
      <alignment horizontal="center" vertical="top" wrapText="1"/>
    </xf>
    <xf numFmtId="180" fontId="30" fillId="0" borderId="0" xfId="0" applyNumberFormat="1" applyFont="1" applyBorder="1" applyAlignment="1">
      <alignment horizontal="center" vertical="center" wrapText="1"/>
    </xf>
    <xf numFmtId="180" fontId="30" fillId="0" borderId="24"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19" xfId="0" applyFont="1" applyBorder="1" applyAlignment="1">
      <alignment horizontal="center" vertical="center" wrapText="1"/>
    </xf>
    <xf numFmtId="0" fontId="30" fillId="0" borderId="25" xfId="0" applyFont="1" applyBorder="1" applyAlignment="1">
      <alignment horizontal="center" vertical="center" wrapText="1"/>
    </xf>
    <xf numFmtId="0" fontId="30" fillId="0" borderId="30"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6"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6" xfId="0" applyFont="1" applyBorder="1" applyAlignment="1">
      <alignment horizontal="center" vertical="center" wrapText="1"/>
    </xf>
    <xf numFmtId="9" fontId="29" fillId="0" borderId="30" xfId="0" applyNumberFormat="1" applyFont="1" applyBorder="1" applyAlignment="1">
      <alignment horizontal="center" vertical="center" wrapText="1"/>
    </xf>
    <xf numFmtId="9" fontId="29" fillId="0" borderId="6" xfId="0" applyNumberFormat="1" applyFont="1" applyBorder="1" applyAlignment="1">
      <alignment horizontal="center" vertical="center" wrapText="1"/>
    </xf>
    <xf numFmtId="0" fontId="29" fillId="0" borderId="30"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10" xfId="0" applyFont="1" applyBorder="1" applyAlignment="1">
      <alignment horizontal="center" vertical="center" wrapText="1"/>
    </xf>
    <xf numFmtId="9" fontId="29" fillId="0" borderId="27" xfId="0" applyNumberFormat="1" applyFont="1" applyBorder="1" applyAlignment="1">
      <alignment horizontal="center" vertical="center" wrapText="1"/>
    </xf>
    <xf numFmtId="9" fontId="29" fillId="0" borderId="28" xfId="0" applyNumberFormat="1" applyFont="1" applyBorder="1" applyAlignment="1">
      <alignment horizontal="center" vertical="center" wrapText="1"/>
    </xf>
    <xf numFmtId="9" fontId="29" fillId="0" borderId="29" xfId="0" applyNumberFormat="1" applyFont="1" applyBorder="1" applyAlignment="1">
      <alignment horizontal="center" vertical="center" wrapText="1"/>
    </xf>
    <xf numFmtId="0" fontId="30" fillId="0" borderId="0" xfId="0" applyFont="1" applyBorder="1" applyAlignment="1">
      <alignment horizontal="right" vertical="center" wrapText="1"/>
    </xf>
    <xf numFmtId="0" fontId="30" fillId="0" borderId="24" xfId="0" applyFont="1" applyBorder="1" applyAlignment="1">
      <alignment horizontal="right" vertical="center" wrapText="1"/>
    </xf>
    <xf numFmtId="0" fontId="30" fillId="0" borderId="19" xfId="0" applyFont="1" applyBorder="1" applyAlignment="1">
      <alignment horizontal="right" vertical="center" wrapText="1"/>
    </xf>
    <xf numFmtId="0" fontId="30" fillId="0" borderId="25" xfId="0" applyFont="1" applyBorder="1" applyAlignment="1">
      <alignment horizontal="right" vertical="center" wrapText="1"/>
    </xf>
    <xf numFmtId="0" fontId="29" fillId="0" borderId="32" xfId="0" applyFont="1" applyBorder="1" applyAlignment="1">
      <alignment horizontal="center" vertical="center" wrapText="1"/>
    </xf>
    <xf numFmtId="0" fontId="29" fillId="0" borderId="7" xfId="0" applyFont="1" applyBorder="1" applyAlignment="1">
      <alignment horizontal="center" vertical="center" wrapText="1"/>
    </xf>
    <xf numFmtId="0" fontId="29" fillId="0" borderId="23" xfId="0" applyFont="1" applyBorder="1" applyAlignment="1">
      <alignment horizontal="center" vertical="center" wrapText="1"/>
    </xf>
    <xf numFmtId="0" fontId="28" fillId="0" borderId="6" xfId="0" applyFont="1" applyBorder="1" applyAlignment="1">
      <alignment horizontal="center" vertical="center" wrapText="1"/>
    </xf>
    <xf numFmtId="9" fontId="29" fillId="0" borderId="10" xfId="0" applyNumberFormat="1" applyFont="1" applyBorder="1" applyAlignment="1">
      <alignment horizontal="center" vertical="center" wrapText="1"/>
    </xf>
    <xf numFmtId="9" fontId="29" fillId="0" borderId="31" xfId="0" applyNumberFormat="1" applyFont="1" applyBorder="1" applyAlignment="1">
      <alignment horizontal="center" vertical="center" wrapText="1"/>
    </xf>
    <xf numFmtId="0" fontId="30" fillId="0" borderId="22" xfId="0" applyFont="1" applyBorder="1" applyAlignment="1">
      <alignment horizontal="center" vertical="center" wrapText="1"/>
    </xf>
    <xf numFmtId="0" fontId="28" fillId="0" borderId="30" xfId="0" applyFont="1" applyBorder="1" applyAlignment="1">
      <alignment horizontal="center" vertical="center" wrapText="1"/>
    </xf>
    <xf numFmtId="0" fontId="30" fillId="0" borderId="10" xfId="0" applyFont="1" applyBorder="1" applyAlignment="1">
      <alignment horizontal="left" vertical="center" wrapText="1"/>
    </xf>
    <xf numFmtId="0" fontId="30" fillId="0" borderId="8" xfId="0" applyFont="1" applyBorder="1" applyAlignment="1">
      <alignment horizontal="left" vertical="center" wrapText="1"/>
    </xf>
    <xf numFmtId="0" fontId="30" fillId="0" borderId="22" xfId="0" applyFont="1" applyBorder="1" applyAlignment="1">
      <alignment horizontal="left" vertical="center" wrapText="1"/>
    </xf>
    <xf numFmtId="0" fontId="30" fillId="0" borderId="6" xfId="0" applyFont="1" applyBorder="1" applyAlignment="1">
      <alignment horizontal="left" vertical="center" wrapText="1"/>
    </xf>
    <xf numFmtId="0" fontId="30" fillId="0" borderId="30" xfId="0" applyFont="1" applyBorder="1" applyAlignment="1">
      <alignment horizontal="left" vertical="center" wrapText="1"/>
    </xf>
    <xf numFmtId="0" fontId="29" fillId="0" borderId="0" xfId="0" applyFont="1" applyBorder="1" applyAlignment="1">
      <alignment horizontal="right" vertical="center" wrapText="1"/>
    </xf>
    <xf numFmtId="0" fontId="29" fillId="0" borderId="24" xfId="0" applyFont="1" applyBorder="1" applyAlignment="1">
      <alignment horizontal="right" vertical="center" wrapText="1"/>
    </xf>
    <xf numFmtId="0" fontId="29" fillId="0" borderId="19" xfId="0" applyFont="1" applyBorder="1" applyAlignment="1">
      <alignment horizontal="right" vertical="center" wrapText="1"/>
    </xf>
    <xf numFmtId="0" fontId="29" fillId="0" borderId="25" xfId="0" applyFont="1" applyBorder="1" applyAlignment="1">
      <alignment horizontal="right" vertical="center" wrapText="1"/>
    </xf>
    <xf numFmtId="0" fontId="29" fillId="0" borderId="14" xfId="0" applyFont="1" applyBorder="1" applyAlignment="1">
      <alignment horizontal="center" vertical="center" wrapText="1"/>
    </xf>
    <xf numFmtId="0" fontId="29" fillId="0" borderId="26" xfId="0" applyFont="1" applyBorder="1" applyAlignment="1">
      <alignment horizontal="center" vertical="center" wrapText="1"/>
    </xf>
    <xf numFmtId="0" fontId="27" fillId="7" borderId="10" xfId="0" applyFont="1" applyFill="1" applyBorder="1" applyAlignment="1">
      <alignment horizontal="center" vertical="center" wrapText="1"/>
    </xf>
    <xf numFmtId="0" fontId="27" fillId="7" borderId="6" xfId="0" applyFont="1" applyFill="1" applyBorder="1" applyAlignment="1">
      <alignment horizontal="center" vertical="center" wrapText="1"/>
    </xf>
    <xf numFmtId="0" fontId="27" fillId="7" borderId="33" xfId="0" applyFont="1" applyFill="1" applyBorder="1" applyAlignment="1">
      <alignment horizontal="center" vertical="center" wrapText="1"/>
    </xf>
    <xf numFmtId="0" fontId="27" fillId="7" borderId="4" xfId="0" applyFont="1" applyFill="1" applyBorder="1" applyAlignment="1">
      <alignment horizontal="center" vertical="center" wrapText="1"/>
    </xf>
    <xf numFmtId="0" fontId="27" fillId="7" borderId="14"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2"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27" fillId="7" borderId="16" xfId="0" applyFont="1" applyFill="1" applyBorder="1" applyAlignment="1">
      <alignment horizontal="center" vertical="center" wrapText="1"/>
    </xf>
    <xf numFmtId="0" fontId="27" fillId="7" borderId="15" xfId="0" applyFont="1" applyFill="1" applyBorder="1" applyAlignment="1">
      <alignment horizontal="center" vertical="center" wrapText="1"/>
    </xf>
    <xf numFmtId="0" fontId="27" fillId="7" borderId="22" xfId="0" applyFont="1" applyFill="1" applyBorder="1" applyAlignment="1">
      <alignment horizontal="center" vertical="center" wrapText="1"/>
    </xf>
    <xf numFmtId="49" fontId="29" fillId="0" borderId="30" xfId="0" applyNumberFormat="1" applyFont="1" applyBorder="1" applyAlignment="1">
      <alignment horizontal="center" vertical="center" wrapText="1"/>
    </xf>
    <xf numFmtId="49" fontId="29" fillId="0" borderId="8" xfId="0" applyNumberFormat="1" applyFont="1" applyBorder="1" applyAlignment="1">
      <alignment horizontal="center" vertical="center" wrapText="1"/>
    </xf>
    <xf numFmtId="49" fontId="29" fillId="0" borderId="22" xfId="0" applyNumberFormat="1" applyFont="1" applyBorder="1" applyAlignment="1">
      <alignment horizontal="center" vertical="center" wrapText="1"/>
    </xf>
    <xf numFmtId="0" fontId="30" fillId="0" borderId="10" xfId="0" applyFont="1" applyBorder="1" applyAlignment="1">
      <alignment horizontal="center" vertical="center" wrapText="1"/>
    </xf>
    <xf numFmtId="0" fontId="37" fillId="0" borderId="0" xfId="0" applyFont="1" applyBorder="1" applyAlignment="1">
      <alignment horizontal="center" vertical="center"/>
    </xf>
    <xf numFmtId="0" fontId="0" fillId="0" borderId="0" xfId="0" applyBorder="1" applyAlignment="1">
      <alignment horizontal="center" vertical="center"/>
    </xf>
    <xf numFmtId="0" fontId="29" fillId="0" borderId="0" xfId="0" applyFont="1" applyBorder="1" applyAlignment="1">
      <alignment horizontal="center" vertical="center" wrapText="1"/>
    </xf>
    <xf numFmtId="9" fontId="29" fillId="0" borderId="0" xfId="0" applyNumberFormat="1" applyFont="1" applyBorder="1" applyAlignment="1">
      <alignment horizontal="center" vertical="center" wrapText="1"/>
    </xf>
    <xf numFmtId="0" fontId="4" fillId="0" borderId="0" xfId="0" applyFont="1" applyBorder="1" applyAlignment="1">
      <alignment horizontal="center" vertical="center"/>
    </xf>
    <xf numFmtId="179" fontId="29" fillId="0" borderId="0" xfId="0" applyNumberFormat="1" applyFont="1" applyBorder="1" applyAlignment="1">
      <alignment horizontal="center" vertical="center" wrapText="1"/>
    </xf>
    <xf numFmtId="179" fontId="29" fillId="0" borderId="21" xfId="0" applyNumberFormat="1" applyFont="1" applyBorder="1" applyAlignment="1">
      <alignment horizontal="center" vertical="center" wrapText="1"/>
    </xf>
    <xf numFmtId="179" fontId="29" fillId="0" borderId="38" xfId="0" applyNumberFormat="1" applyFont="1" applyBorder="1" applyAlignment="1">
      <alignment horizontal="center" vertical="center" wrapText="1"/>
    </xf>
    <xf numFmtId="0" fontId="28" fillId="0" borderId="37" xfId="0" applyFont="1" applyBorder="1" applyAlignment="1">
      <alignment horizontal="center" vertical="center" wrapText="1"/>
    </xf>
    <xf numFmtId="0" fontId="33" fillId="0" borderId="10" xfId="0" applyFont="1" applyBorder="1" applyAlignment="1">
      <alignment horizontal="center" vertical="center" wrapText="1"/>
    </xf>
    <xf numFmtId="0" fontId="33" fillId="0" borderId="8" xfId="0" applyFont="1" applyBorder="1" applyAlignment="1">
      <alignment horizontal="center" vertical="center" wrapText="1"/>
    </xf>
    <xf numFmtId="0" fontId="33" fillId="0" borderId="6" xfId="0" applyFont="1" applyBorder="1" applyAlignment="1">
      <alignment horizontal="center" vertical="center" wrapText="1"/>
    </xf>
    <xf numFmtId="9" fontId="34" fillId="0" borderId="10" xfId="0" applyNumberFormat="1" applyFont="1" applyBorder="1" applyAlignment="1">
      <alignment horizontal="center" vertical="center" wrapText="1"/>
    </xf>
    <xf numFmtId="9" fontId="34" fillId="0" borderId="8" xfId="0" applyNumberFormat="1" applyFont="1" applyBorder="1" applyAlignment="1">
      <alignment horizontal="center" vertical="center" wrapText="1"/>
    </xf>
    <xf numFmtId="9" fontId="34" fillId="0" borderId="6" xfId="0" applyNumberFormat="1" applyFont="1" applyBorder="1" applyAlignment="1">
      <alignment horizontal="center" vertical="center" wrapText="1"/>
    </xf>
    <xf numFmtId="0" fontId="35" fillId="0" borderId="4" xfId="0" applyFont="1" applyBorder="1" applyAlignment="1">
      <alignment horizontal="left" vertical="center" wrapText="1"/>
    </xf>
    <xf numFmtId="0" fontId="35" fillId="0" borderId="26" xfId="0" applyFont="1" applyBorder="1" applyAlignment="1">
      <alignment horizontal="left" vertical="center" wrapText="1"/>
    </xf>
    <xf numFmtId="9" fontId="34" fillId="0" borderId="31" xfId="0" applyNumberFormat="1" applyFont="1" applyBorder="1" applyAlignment="1">
      <alignment horizontal="center" vertical="center" wrapText="1"/>
    </xf>
    <xf numFmtId="9" fontId="34" fillId="0" borderId="28" xfId="0" applyNumberFormat="1" applyFont="1" applyBorder="1" applyAlignment="1">
      <alignment horizontal="center" vertical="center" wrapText="1"/>
    </xf>
    <xf numFmtId="9" fontId="34" fillId="0" borderId="29" xfId="0" applyNumberFormat="1" applyFont="1" applyBorder="1" applyAlignment="1">
      <alignment horizontal="center" vertical="center" wrapText="1"/>
    </xf>
    <xf numFmtId="0" fontId="35" fillId="0" borderId="3" xfId="0" applyFont="1" applyBorder="1" applyAlignment="1">
      <alignment horizontal="left" vertical="center" wrapText="1"/>
    </xf>
    <xf numFmtId="0" fontId="35" fillId="0" borderId="24" xfId="0" applyFont="1" applyBorder="1" applyAlignment="1">
      <alignment horizontal="left" vertical="center" wrapText="1"/>
    </xf>
    <xf numFmtId="0" fontId="35" fillId="0" borderId="2" xfId="0" applyFont="1" applyBorder="1" applyAlignment="1">
      <alignment horizontal="left" vertical="center" wrapText="1"/>
    </xf>
    <xf numFmtId="0" fontId="35" fillId="0" borderId="25" xfId="0" applyFont="1" applyBorder="1" applyAlignment="1">
      <alignment horizontal="left" vertical="center" wrapText="1"/>
    </xf>
    <xf numFmtId="0" fontId="33" fillId="0" borderId="30" xfId="0" applyFont="1" applyBorder="1" applyAlignment="1">
      <alignment horizontal="center" vertical="center" wrapText="1"/>
    </xf>
    <xf numFmtId="9" fontId="34" fillId="0" borderId="30" xfId="0" applyNumberFormat="1" applyFont="1" applyBorder="1" applyAlignment="1">
      <alignment horizontal="center" vertical="center" wrapText="1"/>
    </xf>
    <xf numFmtId="9" fontId="34" fillId="0" borderId="22" xfId="0" applyNumberFormat="1" applyFont="1" applyBorder="1" applyAlignment="1">
      <alignment horizontal="center" vertical="center" wrapText="1"/>
    </xf>
    <xf numFmtId="0" fontId="35" fillId="0" borderId="10" xfId="0" applyFont="1" applyBorder="1" applyAlignment="1">
      <alignment horizontal="left" vertical="center" wrapText="1"/>
    </xf>
    <xf numFmtId="0" fontId="35" fillId="0" borderId="8" xfId="0" applyFont="1" applyBorder="1" applyAlignment="1">
      <alignment horizontal="left" vertical="center" wrapText="1"/>
    </xf>
    <xf numFmtId="0" fontId="35" fillId="0" borderId="22" xfId="0" applyFont="1" applyBorder="1" applyAlignment="1">
      <alignment horizontal="left" vertical="center" wrapText="1"/>
    </xf>
    <xf numFmtId="0" fontId="34" fillId="0" borderId="30" xfId="0" applyFont="1" applyBorder="1" applyAlignment="1">
      <alignment horizontal="center" vertical="center" wrapText="1"/>
    </xf>
    <xf numFmtId="0" fontId="34" fillId="0" borderId="8" xfId="0" applyFont="1" applyBorder="1" applyAlignment="1">
      <alignment horizontal="center" vertical="center" wrapText="1"/>
    </xf>
    <xf numFmtId="0" fontId="34" fillId="0" borderId="22" xfId="0" applyFont="1" applyBorder="1" applyAlignment="1">
      <alignment horizontal="center" vertical="center" wrapText="1"/>
    </xf>
    <xf numFmtId="0" fontId="35" fillId="0" borderId="30"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22" xfId="0" applyFont="1" applyBorder="1" applyAlignment="1">
      <alignment horizontal="center" vertical="center" wrapText="1"/>
    </xf>
    <xf numFmtId="0" fontId="34" fillId="0" borderId="32" xfId="0" applyFont="1" applyBorder="1" applyAlignment="1">
      <alignment horizontal="center" vertical="center" wrapText="1"/>
    </xf>
    <xf numFmtId="0" fontId="34" fillId="0" borderId="7" xfId="0" applyFont="1" applyBorder="1" applyAlignment="1">
      <alignment horizontal="center" vertical="center" wrapText="1"/>
    </xf>
    <xf numFmtId="0" fontId="34" fillId="0" borderId="23" xfId="0" applyFont="1" applyBorder="1" applyAlignment="1">
      <alignment horizontal="center" vertical="center" wrapText="1"/>
    </xf>
    <xf numFmtId="0" fontId="35" fillId="0" borderId="30" xfId="0" applyFont="1" applyBorder="1" applyAlignment="1">
      <alignment horizontal="left" vertical="center" wrapText="1"/>
    </xf>
    <xf numFmtId="0" fontId="35" fillId="0" borderId="6" xfId="0" applyFont="1" applyBorder="1" applyAlignment="1">
      <alignment horizontal="left" vertical="center" wrapText="1"/>
    </xf>
    <xf numFmtId="0" fontId="34" fillId="0" borderId="4" xfId="0" applyFont="1" applyBorder="1" applyAlignment="1">
      <alignment horizontal="left" vertical="center" wrapText="1"/>
    </xf>
    <xf numFmtId="0" fontId="34" fillId="0" borderId="26" xfId="0" applyFont="1" applyBorder="1" applyAlignment="1">
      <alignment horizontal="left" vertical="center" wrapText="1"/>
    </xf>
    <xf numFmtId="9" fontId="34" fillId="0" borderId="27" xfId="0" applyNumberFormat="1" applyFont="1" applyBorder="1" applyAlignment="1">
      <alignment horizontal="center" vertical="center" wrapText="1"/>
    </xf>
    <xf numFmtId="0" fontId="35" fillId="0" borderId="6"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10" xfId="0" applyFont="1" applyBorder="1" applyAlignment="1">
      <alignment horizontal="center" vertical="center" wrapText="1"/>
    </xf>
    <xf numFmtId="0" fontId="34" fillId="0" borderId="3" xfId="0" applyFont="1" applyBorder="1" applyAlignment="1">
      <alignment horizontal="left" vertical="center" wrapText="1"/>
    </xf>
    <xf numFmtId="0" fontId="34" fillId="0" borderId="24" xfId="0" applyFont="1" applyBorder="1" applyAlignment="1">
      <alignment horizontal="left" vertical="center" wrapText="1"/>
    </xf>
    <xf numFmtId="0" fontId="34" fillId="0" borderId="2" xfId="0" applyFont="1" applyBorder="1" applyAlignment="1">
      <alignment horizontal="left" vertical="center" wrapText="1"/>
    </xf>
    <xf numFmtId="0" fontId="34" fillId="0" borderId="25" xfId="0" applyFont="1" applyBorder="1" applyAlignment="1">
      <alignment horizontal="left" vertical="center" wrapText="1"/>
    </xf>
    <xf numFmtId="0" fontId="32" fillId="7" borderId="10" xfId="0" applyFont="1" applyFill="1" applyBorder="1" applyAlignment="1">
      <alignment horizontal="center" vertical="center" wrapText="1"/>
    </xf>
    <xf numFmtId="0" fontId="32" fillId="7" borderId="6"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2" fillId="7" borderId="4" xfId="0" applyFont="1" applyFill="1" applyBorder="1" applyAlignment="1">
      <alignment horizontal="center" vertical="center" wrapText="1"/>
    </xf>
    <xf numFmtId="0" fontId="32" fillId="7" borderId="9" xfId="0" applyFont="1" applyFill="1" applyBorder="1" applyAlignment="1">
      <alignment horizontal="center" vertical="center" wrapText="1"/>
    </xf>
    <xf numFmtId="0" fontId="32" fillId="7" borderId="2"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6"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32" fillId="7" borderId="22" xfId="0" applyFont="1" applyFill="1" applyBorder="1" applyAlignment="1">
      <alignment horizontal="center" vertical="center" wrapText="1"/>
    </xf>
    <xf numFmtId="0" fontId="33" fillId="0" borderId="22" xfId="0" applyFont="1" applyBorder="1" applyAlignment="1">
      <alignment horizontal="center" vertical="center" wrapText="1"/>
    </xf>
    <xf numFmtId="0" fontId="35" fillId="0" borderId="10" xfId="0" applyFont="1" applyBorder="1" applyAlignment="1">
      <alignment horizontal="center" vertical="center" wrapText="1"/>
    </xf>
    <xf numFmtId="178" fontId="30" fillId="0" borderId="0" xfId="1" applyNumberFormat="1" applyFont="1">
      <alignment vertical="center"/>
    </xf>
    <xf numFmtId="0" fontId="26" fillId="0" borderId="0" xfId="0" applyFont="1" applyAlignment="1">
      <alignment horizontal="left"/>
    </xf>
    <xf numFmtId="0" fontId="4" fillId="0" borderId="0" xfId="0" applyFont="1">
      <alignment vertical="center"/>
    </xf>
  </cellXfs>
  <cellStyles count="12">
    <cellStyle name="百分比" xfId="8" builtinId="5"/>
    <cellStyle name="百分比 2" xfId="3"/>
    <cellStyle name="百分比 3" xfId="6"/>
    <cellStyle name="百分比 3 2" xfId="10"/>
    <cellStyle name="常规" xfId="0" builtinId="0"/>
    <cellStyle name="常规 2" xfId="2"/>
    <cellStyle name="常规 3" xfId="5"/>
    <cellStyle name="常规 3 2" xfId="9"/>
    <cellStyle name="千位分隔" xfId="1" builtinId="3"/>
    <cellStyle name="千位分隔 2" xfId="4"/>
    <cellStyle name="千位分隔 3" xfId="7"/>
    <cellStyle name="千位分隔 3 2" xfId="11"/>
  </cellStyles>
  <dxfs count="0"/>
  <tableStyles count="0" defaultTableStyle="TableStyleMedium2" defaultPivotStyle="PivotStyleLight16"/>
  <colors>
    <mruColors>
      <color rgb="FF008000"/>
      <color rgb="FFFF7C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123825</xdr:colOff>
          <xdr:row>0</xdr:row>
          <xdr:rowOff>133350</xdr:rowOff>
        </xdr:from>
        <xdr:to>
          <xdr:col>7</xdr:col>
          <xdr:colOff>1390650</xdr:colOff>
          <xdr:row>0</xdr:row>
          <xdr:rowOff>504825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zh-CN" altLang="en-US" sz="1100" b="0" i="0" u="none" strike="noStrike" baseline="0">
                  <a:solidFill>
                    <a:srgbClr val="000000"/>
                  </a:solidFill>
                  <a:latin typeface="Arial Unicode MS"/>
                  <a:ea typeface="Arial Unicode MS"/>
                  <a:cs typeface="Arial Unicode MS"/>
                </a:rPr>
                <a:t>Cal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0</xdr:row>
          <xdr:rowOff>123825</xdr:rowOff>
        </xdr:from>
        <xdr:to>
          <xdr:col>6</xdr:col>
          <xdr:colOff>1343025</xdr:colOff>
          <xdr:row>0</xdr:row>
          <xdr:rowOff>504825</xdr:rowOff>
        </xdr:to>
        <xdr:sp macro="" textlink="">
          <xdr:nvSpPr>
            <xdr:cNvPr id="7286" name="Button 118" hidden="1">
              <a:extLst>
                <a:ext uri="{63B3BB69-23CF-44E3-9099-C40C66FF867C}">
                  <a14:compatExt spid="_x0000_s7286"/>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zh-CN" altLang="en-US" sz="1100" b="0" i="0" u="none" strike="noStrike" baseline="0">
                  <a:solidFill>
                    <a:srgbClr val="000000"/>
                  </a:solidFill>
                  <a:latin typeface="Arial Unicode MS"/>
                  <a:ea typeface="Arial Unicode MS"/>
                  <a:cs typeface="Arial Unicode MS"/>
                </a:rPr>
                <a:t>Load Leasing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133350</xdr:rowOff>
        </xdr:from>
        <xdr:to>
          <xdr:col>5</xdr:col>
          <xdr:colOff>1314450</xdr:colOff>
          <xdr:row>0</xdr:row>
          <xdr:rowOff>514350</xdr:rowOff>
        </xdr:to>
        <xdr:sp macro="" textlink="">
          <xdr:nvSpPr>
            <xdr:cNvPr id="7287" name="Button 119" hidden="1">
              <a:extLst>
                <a:ext uri="{63B3BB69-23CF-44E3-9099-C40C66FF867C}">
                  <a14:compatExt spid="_x0000_s7287"/>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zh-CN" altLang="en-US" sz="1100" b="0" i="0" u="none" strike="noStrike" baseline="0">
                  <a:solidFill>
                    <a:srgbClr val="000000"/>
                  </a:solidFill>
                  <a:latin typeface="Arial Unicode MS"/>
                  <a:ea typeface="Arial Unicode MS"/>
                  <a:cs typeface="Arial Unicode MS"/>
                </a:rPr>
                <a:t>Load D&amp;B Data</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AA79"/>
  <sheetViews>
    <sheetView topLeftCell="A40" workbookViewId="0">
      <selection activeCell="D43" sqref="D43"/>
    </sheetView>
  </sheetViews>
  <sheetFormatPr defaultRowHeight="13.5" x14ac:dyDescent="0.15"/>
  <cols>
    <col min="2" max="2" width="22" bestFit="1" customWidth="1"/>
    <col min="3" max="3" width="38.25" bestFit="1" customWidth="1"/>
    <col min="4" max="4" width="28.5" customWidth="1"/>
    <col min="5" max="5" width="21.125" customWidth="1"/>
    <col min="6" max="6" width="11.25" customWidth="1"/>
    <col min="7" max="7" width="5.625" customWidth="1"/>
    <col min="8" max="8" width="7.25" customWidth="1"/>
    <col min="9" max="9" width="14.25" bestFit="1" customWidth="1"/>
    <col min="10" max="10" width="7.625" customWidth="1"/>
    <col min="11" max="11" width="18.75" customWidth="1"/>
    <col min="12" max="12" width="15.125" customWidth="1"/>
    <col min="13" max="13" width="5.5" customWidth="1"/>
    <col min="14" max="14" width="24.875" customWidth="1"/>
    <col min="15" max="15" width="15.5" customWidth="1"/>
    <col min="16" max="16" width="8.125" customWidth="1"/>
    <col min="17" max="17" width="7.75" bestFit="1" customWidth="1"/>
    <col min="18" max="18" width="17.375" customWidth="1"/>
    <col min="19" max="19" width="12" customWidth="1"/>
    <col min="22" max="22" width="30.125" customWidth="1"/>
    <col min="23" max="23" width="7.375" customWidth="1"/>
    <col min="26" max="26" width="12.5" bestFit="1" customWidth="1"/>
  </cols>
  <sheetData>
    <row r="3" spans="3:27" ht="15" x14ac:dyDescent="0.15">
      <c r="K3" s="267"/>
      <c r="L3" s="267"/>
    </row>
    <row r="4" spans="3:27" ht="15" x14ac:dyDescent="0.15">
      <c r="C4" s="6"/>
      <c r="D4" s="6" t="s">
        <v>419</v>
      </c>
      <c r="E4" s="6"/>
      <c r="G4" s="267" t="s">
        <v>420</v>
      </c>
      <c r="H4" s="267"/>
      <c r="I4" s="267"/>
      <c r="J4" s="267"/>
      <c r="K4" s="267"/>
      <c r="L4" s="267"/>
      <c r="M4" s="267"/>
      <c r="N4" s="267"/>
      <c r="O4" s="267"/>
      <c r="P4" s="267"/>
      <c r="Q4" s="267"/>
      <c r="R4" s="267"/>
      <c r="S4" s="267"/>
      <c r="V4" s="267" t="s">
        <v>563</v>
      </c>
      <c r="W4" s="267"/>
      <c r="Z4" s="267" t="s">
        <v>418</v>
      </c>
      <c r="AA4" s="267"/>
    </row>
    <row r="5" spans="3:27" ht="15" x14ac:dyDescent="0.15">
      <c r="C5" s="147"/>
      <c r="D5" s="148" t="s">
        <v>564</v>
      </c>
      <c r="E5" s="148" t="s">
        <v>130</v>
      </c>
      <c r="G5" s="2" t="s">
        <v>55</v>
      </c>
      <c r="H5" s="2"/>
      <c r="J5" s="269" t="s">
        <v>0</v>
      </c>
      <c r="K5" s="269"/>
      <c r="L5" s="269"/>
      <c r="M5" s="2"/>
      <c r="N5" s="269" t="s">
        <v>57</v>
      </c>
      <c r="O5" s="269"/>
      <c r="P5" s="2" t="s">
        <v>113</v>
      </c>
      <c r="R5" s="145" t="s">
        <v>120</v>
      </c>
      <c r="S5" s="145" t="s">
        <v>116</v>
      </c>
      <c r="V5" s="152" t="s">
        <v>655</v>
      </c>
      <c r="W5" s="152" t="s">
        <v>421</v>
      </c>
      <c r="Z5" s="190" t="s">
        <v>656</v>
      </c>
      <c r="AA5" s="190" t="s">
        <v>657</v>
      </c>
    </row>
    <row r="6" spans="3:27" ht="57" x14ac:dyDescent="0.15">
      <c r="C6" s="149">
        <v>1</v>
      </c>
      <c r="D6" s="148" t="s">
        <v>131</v>
      </c>
      <c r="E6" s="150">
        <v>10</v>
      </c>
      <c r="G6" s="2">
        <v>1</v>
      </c>
      <c r="H6" s="185">
        <v>10</v>
      </c>
      <c r="J6" s="2" t="s">
        <v>1</v>
      </c>
      <c r="K6" s="2" t="s">
        <v>2</v>
      </c>
      <c r="L6" s="2" t="s">
        <v>36</v>
      </c>
      <c r="M6" s="145" t="s">
        <v>125</v>
      </c>
      <c r="N6" s="2">
        <v>1</v>
      </c>
      <c r="O6" s="2" t="s">
        <v>58</v>
      </c>
      <c r="P6" s="2">
        <v>10</v>
      </c>
      <c r="R6" s="146" t="s">
        <v>122</v>
      </c>
      <c r="S6" s="5">
        <v>10</v>
      </c>
      <c r="V6" s="148" t="s">
        <v>560</v>
      </c>
      <c r="W6" s="149">
        <v>10</v>
      </c>
      <c r="Z6" s="153" t="s">
        <v>417</v>
      </c>
      <c r="AA6" s="154">
        <v>10</v>
      </c>
    </row>
    <row r="7" spans="3:27" ht="71.25" x14ac:dyDescent="0.15">
      <c r="C7" s="149">
        <v>2</v>
      </c>
      <c r="D7" s="148" t="s">
        <v>132</v>
      </c>
      <c r="E7" s="150">
        <v>8</v>
      </c>
      <c r="G7" s="2">
        <v>2</v>
      </c>
      <c r="H7" s="185">
        <v>8</v>
      </c>
      <c r="J7" s="2" t="s">
        <v>3</v>
      </c>
      <c r="K7" s="2" t="s">
        <v>17</v>
      </c>
      <c r="L7" s="4" t="s">
        <v>126</v>
      </c>
      <c r="M7" s="2">
        <v>10</v>
      </c>
      <c r="N7" s="2">
        <v>2</v>
      </c>
      <c r="O7" s="2" t="s">
        <v>59</v>
      </c>
      <c r="P7" s="2">
        <v>8</v>
      </c>
      <c r="R7" s="146" t="s">
        <v>121</v>
      </c>
      <c r="S7" s="5">
        <v>5</v>
      </c>
      <c r="V7" s="148" t="s">
        <v>561</v>
      </c>
      <c r="W7" s="149">
        <v>6</v>
      </c>
      <c r="Z7" s="153" t="s">
        <v>178</v>
      </c>
      <c r="AA7" s="154">
        <v>8</v>
      </c>
    </row>
    <row r="8" spans="3:27" ht="60" x14ac:dyDescent="0.15">
      <c r="C8" s="149">
        <v>3</v>
      </c>
      <c r="D8" s="148" t="s">
        <v>133</v>
      </c>
      <c r="E8" s="150">
        <v>6</v>
      </c>
      <c r="G8" s="2">
        <v>3</v>
      </c>
      <c r="H8" s="185">
        <v>6</v>
      </c>
      <c r="J8" s="2" t="s">
        <v>5</v>
      </c>
      <c r="K8" s="2" t="s">
        <v>18</v>
      </c>
      <c r="L8" s="2" t="s">
        <v>115</v>
      </c>
      <c r="M8" s="2">
        <f t="shared" ref="M8:M17" si="0">M9+0.75</f>
        <v>9.25</v>
      </c>
      <c r="N8" s="2">
        <v>3</v>
      </c>
      <c r="O8" s="2" t="s">
        <v>60</v>
      </c>
      <c r="P8" s="2">
        <v>6</v>
      </c>
      <c r="R8" s="146" t="s">
        <v>124</v>
      </c>
      <c r="S8" s="5">
        <v>0</v>
      </c>
      <c r="V8" s="148" t="s">
        <v>562</v>
      </c>
      <c r="W8" s="149">
        <v>2</v>
      </c>
      <c r="Z8" s="153" t="s">
        <v>177</v>
      </c>
      <c r="AA8" s="154">
        <v>6</v>
      </c>
    </row>
    <row r="9" spans="3:27" ht="60" x14ac:dyDescent="0.15">
      <c r="C9" s="149">
        <v>4</v>
      </c>
      <c r="D9" s="148" t="s">
        <v>134</v>
      </c>
      <c r="E9" s="151">
        <v>4</v>
      </c>
      <c r="G9" s="2">
        <v>4</v>
      </c>
      <c r="H9" s="185">
        <v>5</v>
      </c>
      <c r="J9" s="2" t="s">
        <v>6</v>
      </c>
      <c r="K9" s="2" t="s">
        <v>19</v>
      </c>
      <c r="L9" s="4" t="s">
        <v>433</v>
      </c>
      <c r="M9" s="2">
        <f t="shared" si="0"/>
        <v>8.5</v>
      </c>
      <c r="N9" s="2">
        <v>4</v>
      </c>
      <c r="O9" s="2" t="s">
        <v>56</v>
      </c>
      <c r="P9" s="2">
        <v>4</v>
      </c>
      <c r="R9" s="146" t="s">
        <v>123</v>
      </c>
      <c r="S9" s="5">
        <v>0</v>
      </c>
      <c r="V9" s="23"/>
      <c r="W9" s="30"/>
      <c r="Z9" s="153" t="s">
        <v>175</v>
      </c>
      <c r="AA9" s="154">
        <v>4</v>
      </c>
    </row>
    <row r="10" spans="3:27" ht="60" x14ac:dyDescent="0.15">
      <c r="C10" s="149">
        <v>5</v>
      </c>
      <c r="D10" s="148" t="s">
        <v>135</v>
      </c>
      <c r="E10" s="150">
        <v>2</v>
      </c>
      <c r="G10" s="2">
        <v>5</v>
      </c>
      <c r="H10" s="185">
        <v>4</v>
      </c>
      <c r="J10" s="2" t="s">
        <v>7</v>
      </c>
      <c r="K10" s="2" t="s">
        <v>20</v>
      </c>
      <c r="L10" s="2" t="s">
        <v>40</v>
      </c>
      <c r="M10" s="2">
        <f t="shared" si="0"/>
        <v>7.75</v>
      </c>
      <c r="N10" s="3">
        <v>5</v>
      </c>
      <c r="O10" s="2" t="s">
        <v>61</v>
      </c>
      <c r="P10" s="2">
        <v>2</v>
      </c>
      <c r="V10" s="23"/>
      <c r="W10" s="30"/>
      <c r="Z10" s="153" t="s">
        <v>173</v>
      </c>
      <c r="AA10" s="154">
        <v>2</v>
      </c>
    </row>
    <row r="11" spans="3:27" ht="45" x14ac:dyDescent="0.15">
      <c r="C11" s="149">
        <v>6</v>
      </c>
      <c r="D11" s="148" t="s">
        <v>136</v>
      </c>
      <c r="E11" s="151">
        <v>0</v>
      </c>
      <c r="G11" s="2">
        <v>6</v>
      </c>
      <c r="H11" s="185">
        <v>3.2</v>
      </c>
      <c r="J11" s="2" t="s">
        <v>8</v>
      </c>
      <c r="K11" s="2" t="s">
        <v>21</v>
      </c>
      <c r="L11" s="2" t="s">
        <v>41</v>
      </c>
      <c r="M11" s="2">
        <f t="shared" si="0"/>
        <v>7</v>
      </c>
      <c r="V11" s="23"/>
      <c r="W11" s="30"/>
      <c r="Z11" s="153" t="s">
        <v>170</v>
      </c>
      <c r="AA11" s="154">
        <v>0</v>
      </c>
    </row>
    <row r="12" spans="3:27" ht="15" x14ac:dyDescent="0.15">
      <c r="C12" s="149"/>
      <c r="G12" s="2">
        <v>7</v>
      </c>
      <c r="H12" s="185">
        <v>2.4</v>
      </c>
      <c r="J12" s="2" t="s">
        <v>9</v>
      </c>
      <c r="K12" s="2" t="s">
        <v>22</v>
      </c>
      <c r="L12" s="2" t="s">
        <v>42</v>
      </c>
      <c r="M12" s="2">
        <f t="shared" si="0"/>
        <v>6.25</v>
      </c>
      <c r="V12" s="23"/>
      <c r="W12" s="30"/>
    </row>
    <row r="13" spans="3:27" ht="15" x14ac:dyDescent="0.15">
      <c r="G13" s="2">
        <v>8</v>
      </c>
      <c r="H13" s="185">
        <v>2</v>
      </c>
      <c r="J13" s="2" t="s">
        <v>10</v>
      </c>
      <c r="K13" s="2" t="s">
        <v>23</v>
      </c>
      <c r="L13" s="2" t="s">
        <v>43</v>
      </c>
      <c r="M13" s="2">
        <f t="shared" si="0"/>
        <v>5.5</v>
      </c>
      <c r="V13" s="23"/>
      <c r="W13" s="30"/>
    </row>
    <row r="14" spans="3:27" ht="15" x14ac:dyDescent="0.15">
      <c r="G14" s="2">
        <v>9</v>
      </c>
      <c r="H14" s="185">
        <v>1</v>
      </c>
      <c r="J14" s="2" t="s">
        <v>11</v>
      </c>
      <c r="K14" s="2" t="s">
        <v>24</v>
      </c>
      <c r="L14" s="2" t="s">
        <v>44</v>
      </c>
      <c r="M14" s="2">
        <f t="shared" si="0"/>
        <v>4.75</v>
      </c>
      <c r="V14" s="23"/>
      <c r="W14" s="30"/>
    </row>
    <row r="15" spans="3:27" ht="14.25" x14ac:dyDescent="0.15">
      <c r="G15" s="2">
        <v>10</v>
      </c>
      <c r="H15" s="185">
        <v>0</v>
      </c>
      <c r="J15" s="2" t="s">
        <v>12</v>
      </c>
      <c r="K15" s="2" t="s">
        <v>25</v>
      </c>
      <c r="L15" s="2" t="s">
        <v>45</v>
      </c>
      <c r="M15" s="2">
        <f t="shared" si="0"/>
        <v>4</v>
      </c>
    </row>
    <row r="16" spans="3:27" ht="14.25" x14ac:dyDescent="0.15">
      <c r="J16" s="2" t="s">
        <v>13</v>
      </c>
      <c r="K16" s="2" t="s">
        <v>26</v>
      </c>
      <c r="L16" s="2" t="s">
        <v>46</v>
      </c>
      <c r="M16" s="2">
        <f t="shared" si="0"/>
        <v>3.25</v>
      </c>
    </row>
    <row r="17" spans="3:13" ht="14.25" x14ac:dyDescent="0.15">
      <c r="J17" s="2" t="s">
        <v>14</v>
      </c>
      <c r="K17" s="2" t="s">
        <v>27</v>
      </c>
      <c r="L17" s="2" t="s">
        <v>47</v>
      </c>
      <c r="M17" s="2">
        <f t="shared" si="0"/>
        <v>2.5</v>
      </c>
    </row>
    <row r="18" spans="3:13" ht="14.25" x14ac:dyDescent="0.15">
      <c r="J18" s="2" t="s">
        <v>15</v>
      </c>
      <c r="K18" s="2" t="s">
        <v>28</v>
      </c>
      <c r="L18" s="2" t="s">
        <v>48</v>
      </c>
      <c r="M18" s="2">
        <f>M19+0.75</f>
        <v>1.75</v>
      </c>
    </row>
    <row r="19" spans="3:13" ht="41.25" customHeight="1" x14ac:dyDescent="0.15">
      <c r="J19" s="2" t="s">
        <v>16</v>
      </c>
      <c r="K19" s="2" t="s">
        <v>29</v>
      </c>
      <c r="L19" s="2" t="s">
        <v>49</v>
      </c>
      <c r="M19" s="2">
        <v>1</v>
      </c>
    </row>
    <row r="20" spans="3:13" ht="14.25" x14ac:dyDescent="0.15">
      <c r="J20" s="144" t="s">
        <v>37</v>
      </c>
      <c r="K20" s="144" t="s">
        <v>38</v>
      </c>
      <c r="L20" s="144"/>
    </row>
    <row r="21" spans="3:13" ht="14.25" x14ac:dyDescent="0.15">
      <c r="J21" s="2" t="s">
        <v>30</v>
      </c>
      <c r="K21" s="2" t="s">
        <v>39</v>
      </c>
      <c r="L21" s="2"/>
    </row>
    <row r="22" spans="3:13" ht="14.25" x14ac:dyDescent="0.15">
      <c r="J22" s="2" t="s">
        <v>31</v>
      </c>
      <c r="K22" s="2" t="s">
        <v>50</v>
      </c>
      <c r="L22" s="2"/>
    </row>
    <row r="23" spans="3:13" ht="14.25" x14ac:dyDescent="0.15">
      <c r="J23" s="2" t="s">
        <v>32</v>
      </c>
      <c r="K23" s="2" t="s">
        <v>51</v>
      </c>
      <c r="L23" s="2"/>
    </row>
    <row r="24" spans="3:13" ht="14.25" x14ac:dyDescent="0.15">
      <c r="J24" s="2" t="s">
        <v>33</v>
      </c>
      <c r="K24" s="2" t="s">
        <v>52</v>
      </c>
      <c r="L24" s="2"/>
    </row>
    <row r="25" spans="3:13" ht="14.25" x14ac:dyDescent="0.15">
      <c r="J25" s="2" t="s">
        <v>34</v>
      </c>
      <c r="K25" s="2" t="s">
        <v>53</v>
      </c>
      <c r="L25" s="2"/>
    </row>
    <row r="26" spans="3:13" ht="14.25" x14ac:dyDescent="0.15">
      <c r="J26" s="2" t="s">
        <v>35</v>
      </c>
      <c r="K26" s="2" t="s">
        <v>54</v>
      </c>
      <c r="L26" s="2"/>
    </row>
    <row r="27" spans="3:13" ht="14.25" x14ac:dyDescent="0.15">
      <c r="J27" s="2"/>
      <c r="K27" s="2"/>
      <c r="L27" s="2"/>
    </row>
    <row r="28" spans="3:13" ht="14.25" x14ac:dyDescent="0.15">
      <c r="J28" s="2"/>
      <c r="K28" s="2"/>
      <c r="L28" s="2"/>
    </row>
    <row r="29" spans="3:13" ht="14.25" x14ac:dyDescent="0.15">
      <c r="J29" s="2"/>
      <c r="K29" s="2"/>
      <c r="L29" s="2"/>
    </row>
    <row r="30" spans="3:13" ht="14.25" x14ac:dyDescent="0.15">
      <c r="J30" s="2"/>
      <c r="K30" s="2"/>
      <c r="L30" s="2"/>
    </row>
    <row r="31" spans="3:13" x14ac:dyDescent="0.15">
      <c r="J31" s="5"/>
      <c r="K31" s="5"/>
      <c r="L31" s="5"/>
    </row>
    <row r="32" spans="3:13" ht="15.75" thickBot="1" x14ac:dyDescent="0.2">
      <c r="C32" s="268" t="s">
        <v>412</v>
      </c>
      <c r="D32" s="268"/>
      <c r="J32" s="7"/>
      <c r="K32" s="7"/>
      <c r="L32" s="7"/>
    </row>
    <row r="33" spans="3:27" ht="14.25" thickBot="1" x14ac:dyDescent="0.2">
      <c r="C33" s="160" t="s">
        <v>430</v>
      </c>
      <c r="D33" s="160" t="s">
        <v>413</v>
      </c>
      <c r="J33" s="7"/>
      <c r="K33" s="7"/>
      <c r="L33" s="7"/>
    </row>
    <row r="34" spans="3:27" ht="55.5" customHeight="1" x14ac:dyDescent="0.15">
      <c r="C34" s="60" t="s">
        <v>574</v>
      </c>
      <c r="D34" s="61">
        <f>VLOOKUP(C34,D6:E11,2,0)</f>
        <v>4</v>
      </c>
      <c r="J34" s="7"/>
      <c r="K34" s="7"/>
      <c r="L34" s="7"/>
    </row>
    <row r="35" spans="3:27" x14ac:dyDescent="0.15">
      <c r="J35" s="7"/>
      <c r="K35" s="7"/>
      <c r="L35" s="7"/>
    </row>
    <row r="36" spans="3:27" x14ac:dyDescent="0.15">
      <c r="J36" s="7"/>
      <c r="K36" s="7"/>
      <c r="L36" s="7"/>
    </row>
    <row r="37" spans="3:27" x14ac:dyDescent="0.15">
      <c r="J37" s="7"/>
      <c r="K37" s="7"/>
      <c r="L37" s="7"/>
    </row>
    <row r="39" spans="3:27" x14ac:dyDescent="0.15">
      <c r="K39" s="7"/>
    </row>
    <row r="40" spans="3:27" ht="15" x14ac:dyDescent="0.15">
      <c r="C40" s="268" t="s">
        <v>111</v>
      </c>
      <c r="D40" s="268"/>
      <c r="E40" s="268"/>
      <c r="F40" s="268"/>
      <c r="G40" s="268"/>
      <c r="H40" s="268"/>
      <c r="I40" s="268"/>
      <c r="J40" s="268"/>
      <c r="K40" s="268"/>
      <c r="L40" s="268"/>
      <c r="M40" s="268"/>
      <c r="N40" s="268"/>
    </row>
    <row r="41" spans="3:27" s="8" customFormat="1" ht="42.75" customHeight="1" x14ac:dyDescent="0.15">
      <c r="C41" s="168" t="s">
        <v>109</v>
      </c>
      <c r="D41" s="168" t="s">
        <v>112</v>
      </c>
      <c r="E41" s="169" t="s">
        <v>117</v>
      </c>
      <c r="F41" s="168" t="s">
        <v>110</v>
      </c>
      <c r="G41" s="168" t="s">
        <v>112</v>
      </c>
      <c r="H41" s="169" t="s">
        <v>117</v>
      </c>
      <c r="I41" s="168" t="s">
        <v>114</v>
      </c>
      <c r="J41" s="168" t="s">
        <v>112</v>
      </c>
      <c r="K41" s="169" t="s">
        <v>117</v>
      </c>
      <c r="L41" s="168" t="s">
        <v>118</v>
      </c>
      <c r="M41" s="168" t="s">
        <v>112</v>
      </c>
      <c r="N41" s="169" t="s">
        <v>119</v>
      </c>
      <c r="V41"/>
      <c r="W41"/>
      <c r="Z41"/>
      <c r="AA41"/>
    </row>
    <row r="42" spans="3:27" ht="62.25" customHeight="1" x14ac:dyDescent="0.15">
      <c r="C42" s="9">
        <v>7</v>
      </c>
      <c r="D42" s="9">
        <f>LOOKUP(C42,G6:G15,H6:H15)</f>
        <v>2.4</v>
      </c>
      <c r="E42" s="186">
        <v>0.45</v>
      </c>
      <c r="F42" s="9">
        <v>3</v>
      </c>
      <c r="G42" s="9">
        <f>LOOKUP(F42,N6:N10,P6:P10)</f>
        <v>6</v>
      </c>
      <c r="H42" s="186">
        <v>0.3</v>
      </c>
      <c r="I42" s="187">
        <v>50000000</v>
      </c>
      <c r="J42" s="11">
        <f>IF((I42&gt;=450000000),10,IF(AND(I42&lt;449999999,I42&gt;=85000000),9.2,IF(AND(I42&gt;=8500000,O42&lt;84999999),8.5,IF(AND(I42&gt;=6500000,I42&lt;8499999),7.8,IF(AND(I42&gt;=4500000,I42&lt;6499999),7,IF(AND(I42&gt;=2500000,I42&lt;4499999),6.2,IF(AND(I42&gt;=1750000,I42&lt;2499999),5.5,IF(AND(I42&gt;=1000000,I42&lt;1749999),4.7,IF(AND(I42&gt;=650000,I42&lt;999999),4,IF(AND(I42&gt;=450000,I42&lt;649999),3.3,IF(AND(I42&gt;=300000,I42&lt;449999),2.5,IF(AND(I42&gt;=200000,I42&lt;299999),1.8,IF(AND(I42&gt;0,I42&lt;200000),1,0)))))))))))))</f>
        <v>8.5</v>
      </c>
      <c r="K42" s="10">
        <v>0.15</v>
      </c>
      <c r="L42" s="12" t="s">
        <v>127</v>
      </c>
      <c r="M42" s="9">
        <f>VLOOKUP(L42,R6:S9,2,0)</f>
        <v>10</v>
      </c>
      <c r="N42" s="10">
        <v>0.1</v>
      </c>
      <c r="P42" s="23"/>
      <c r="Q42" s="30"/>
      <c r="V42" s="8"/>
      <c r="W42" s="8"/>
      <c r="Z42" s="8"/>
      <c r="AA42" s="8"/>
    </row>
    <row r="43" spans="3:27" ht="15" x14ac:dyDescent="0.15">
      <c r="C43" s="13" t="s">
        <v>423</v>
      </c>
      <c r="D43" s="14">
        <f>D42*E42+G42*H42+J42*K42+M42*N42</f>
        <v>5.1549999999999994</v>
      </c>
      <c r="E43" s="14"/>
      <c r="F43" s="14"/>
      <c r="G43" s="14"/>
      <c r="H43" s="14"/>
      <c r="I43" s="14"/>
      <c r="J43" s="14"/>
      <c r="K43" s="14"/>
      <c r="L43" s="14"/>
      <c r="M43" s="14"/>
      <c r="N43" s="14"/>
      <c r="P43" s="23"/>
      <c r="Q43" s="30"/>
    </row>
    <row r="44" spans="3:27" ht="15" x14ac:dyDescent="0.15">
      <c r="C44" s="7"/>
      <c r="D44" s="7"/>
      <c r="E44" s="7"/>
      <c r="F44" s="7"/>
      <c r="G44" s="7"/>
      <c r="H44" s="7"/>
      <c r="I44" s="7"/>
      <c r="J44" s="7"/>
      <c r="K44" s="7"/>
      <c r="L44" s="7"/>
      <c r="M44" s="7"/>
      <c r="N44" s="7"/>
      <c r="P44" s="23"/>
      <c r="Q44" s="30"/>
    </row>
    <row r="45" spans="3:27" ht="15" x14ac:dyDescent="0.15">
      <c r="P45" s="23"/>
      <c r="Q45" s="30"/>
    </row>
    <row r="46" spans="3:27" ht="15" customHeight="1" thickBot="1" x14ac:dyDescent="0.2">
      <c r="C46" s="268" t="s">
        <v>414</v>
      </c>
      <c r="D46" s="268"/>
      <c r="P46" s="23"/>
      <c r="Q46" s="30"/>
    </row>
    <row r="47" spans="3:27" ht="15.75" thickBot="1" x14ac:dyDescent="0.2">
      <c r="C47" s="160" t="s">
        <v>415</v>
      </c>
      <c r="D47" s="160" t="s">
        <v>416</v>
      </c>
      <c r="P47" s="23"/>
      <c r="Q47" s="30"/>
    </row>
    <row r="48" spans="3:27" ht="15" x14ac:dyDescent="0.15">
      <c r="C48" s="132" t="s">
        <v>658</v>
      </c>
      <c r="D48" s="61">
        <f>VLOOKUP(C48,V6:W8,2,0)</f>
        <v>2</v>
      </c>
    </row>
    <row r="51" spans="2:5" ht="15.75" thickBot="1" x14ac:dyDescent="0.2">
      <c r="C51" s="268" t="s">
        <v>422</v>
      </c>
      <c r="D51" s="268"/>
    </row>
    <row r="52" spans="2:5" ht="14.25" thickBot="1" x14ac:dyDescent="0.2">
      <c r="C52" s="160" t="s">
        <v>431</v>
      </c>
      <c r="D52" s="160" t="s">
        <v>432</v>
      </c>
    </row>
    <row r="53" spans="2:5" ht="15" x14ac:dyDescent="0.15">
      <c r="C53" s="155">
        <v>0.7</v>
      </c>
      <c r="D53" s="167">
        <f>IF((C53&gt;=85%),0,IF(AND(C53&gt;=80%,C53&lt;85%),2,IF(AND(C53&gt;=75%,C53&lt;80),4,IF(AND(C53&gt;=65%,C53&lt;75%),6,IF(AND(C53&gt;=50%,C53&lt;65%),8,IF(AND(C53&gt;0,C53&lt;50%),10,"error"))))))</f>
        <v>6</v>
      </c>
    </row>
    <row r="58" spans="2:5" ht="14.25" x14ac:dyDescent="0.15">
      <c r="B58" s="2" t="s">
        <v>425</v>
      </c>
      <c r="C58" s="2" t="s">
        <v>428</v>
      </c>
      <c r="D58" s="2" t="s">
        <v>424</v>
      </c>
      <c r="E58" s="2"/>
    </row>
    <row r="59" spans="2:5" ht="14.25" x14ac:dyDescent="0.15">
      <c r="B59" s="2" t="s">
        <v>411</v>
      </c>
      <c r="C59" s="3">
        <f>D34</f>
        <v>4</v>
      </c>
      <c r="D59" s="156">
        <v>0.25</v>
      </c>
      <c r="E59" s="2">
        <f>C59*D59</f>
        <v>1</v>
      </c>
    </row>
    <row r="60" spans="2:5" ht="14.25" x14ac:dyDescent="0.15">
      <c r="B60" s="2" t="s">
        <v>426</v>
      </c>
      <c r="C60" s="3">
        <f>D43</f>
        <v>5.1549999999999994</v>
      </c>
      <c r="D60" s="156">
        <v>0.5</v>
      </c>
      <c r="E60" s="2">
        <f t="shared" ref="E60:E62" si="1">C60*D60</f>
        <v>2.5774999999999997</v>
      </c>
    </row>
    <row r="61" spans="2:5" ht="14.25" x14ac:dyDescent="0.15">
      <c r="B61" s="2" t="s">
        <v>427</v>
      </c>
      <c r="C61" s="3">
        <f>D48</f>
        <v>2</v>
      </c>
      <c r="D61" s="156">
        <v>0.1</v>
      </c>
      <c r="E61" s="2">
        <f t="shared" si="1"/>
        <v>0.2</v>
      </c>
    </row>
    <row r="62" spans="2:5" ht="14.25" x14ac:dyDescent="0.15">
      <c r="B62" s="2" t="s">
        <v>640</v>
      </c>
      <c r="C62" s="157">
        <f>D53</f>
        <v>6</v>
      </c>
      <c r="D62" s="156">
        <v>0.15</v>
      </c>
      <c r="E62" s="2">
        <f t="shared" si="1"/>
        <v>0.89999999999999991</v>
      </c>
    </row>
    <row r="63" spans="2:5" ht="18" x14ac:dyDescent="0.15">
      <c r="B63" s="158" t="s">
        <v>429</v>
      </c>
      <c r="C63" s="159"/>
      <c r="D63" s="158"/>
      <c r="E63" s="161">
        <f>SUM(E59:E62)</f>
        <v>4.6775000000000002</v>
      </c>
    </row>
    <row r="64" spans="2:5" ht="18" x14ac:dyDescent="0.15">
      <c r="B64" s="174"/>
      <c r="C64" s="175"/>
      <c r="D64" s="174"/>
      <c r="E64" s="176"/>
    </row>
    <row r="65" spans="2:27" ht="14.25" x14ac:dyDescent="0.15">
      <c r="B65" s="178" t="s">
        <v>570</v>
      </c>
      <c r="C65" s="180">
        <v>0.85</v>
      </c>
      <c r="D65" s="180">
        <v>0.8</v>
      </c>
      <c r="E65" s="180">
        <v>0.7</v>
      </c>
    </row>
    <row r="66" spans="2:27" ht="14.25" x14ac:dyDescent="0.15">
      <c r="B66" s="171" t="s">
        <v>565</v>
      </c>
      <c r="C66" s="173">
        <f>(10-E63)/100</f>
        <v>5.3224999999999995E-2</v>
      </c>
      <c r="D66" s="173">
        <f>C66</f>
        <v>5.3224999999999995E-2</v>
      </c>
      <c r="E66" s="173">
        <f>D66</f>
        <v>5.3224999999999995E-2</v>
      </c>
    </row>
    <row r="67" spans="2:27" ht="14.25" x14ac:dyDescent="0.15">
      <c r="B67" s="171" t="s">
        <v>572</v>
      </c>
      <c r="C67" s="173">
        <v>6.0400000000000002E-2</v>
      </c>
      <c r="D67" s="177">
        <f>D73</f>
        <v>6.409999999999999E-2</v>
      </c>
      <c r="E67" s="177">
        <f>E73</f>
        <v>7.1587499999999998E-2</v>
      </c>
    </row>
    <row r="68" spans="2:27" s="181" customFormat="1" ht="14.25" x14ac:dyDescent="0.15">
      <c r="B68" s="178" t="s">
        <v>573</v>
      </c>
      <c r="C68" s="182">
        <f>C66+C67</f>
        <v>0.113625</v>
      </c>
      <c r="D68" s="179">
        <f t="shared" ref="D68:E68" si="2">D66+D67</f>
        <v>0.11732499999999998</v>
      </c>
      <c r="E68" s="182">
        <f t="shared" si="2"/>
        <v>0.12481249999999999</v>
      </c>
      <c r="Z68"/>
      <c r="AA68"/>
    </row>
    <row r="69" spans="2:27" ht="28.5" x14ac:dyDescent="0.15">
      <c r="B69" s="183" t="s">
        <v>641</v>
      </c>
      <c r="C69" s="173" t="s">
        <v>654</v>
      </c>
      <c r="D69" s="173" t="str">
        <f>C69</f>
        <v>0.57-10%</v>
      </c>
      <c r="E69" s="173" t="str">
        <f>D69</f>
        <v>0.57-10%</v>
      </c>
      <c r="Z69" s="181"/>
      <c r="AA69" s="181"/>
    </row>
    <row r="70" spans="2:27" ht="28.5" x14ac:dyDescent="0.15">
      <c r="B70" s="189" t="s">
        <v>642</v>
      </c>
      <c r="C70" s="179">
        <f>((C67+0.57%)+(C67+10%))/2</f>
        <v>0.11325000000000002</v>
      </c>
      <c r="D70" s="179">
        <f t="shared" ref="D70:E70" si="3">((D67+0.57%)+(D67+10%))/2</f>
        <v>0.11695</v>
      </c>
      <c r="E70" s="179">
        <f t="shared" si="3"/>
        <v>0.12443750000000001</v>
      </c>
    </row>
    <row r="72" spans="2:27" ht="14.25" x14ac:dyDescent="0.15">
      <c r="B72" s="183"/>
      <c r="C72" s="173">
        <v>0.85</v>
      </c>
      <c r="D72" s="173">
        <v>0.8</v>
      </c>
      <c r="E72" s="173">
        <v>0.7</v>
      </c>
    </row>
    <row r="73" spans="2:27" ht="14.25" x14ac:dyDescent="0.15">
      <c r="B73" s="171" t="s">
        <v>571</v>
      </c>
      <c r="C73" s="173">
        <f>$C$74*(1-C72)+$C$75*C72*(1-25%)</f>
        <v>6.035625E-2</v>
      </c>
      <c r="D73" s="173">
        <f t="shared" ref="D73:E73" si="4">$C$74*(1-D72)+$C$75*D72*(1-25%)</f>
        <v>6.409999999999999E-2</v>
      </c>
      <c r="E73" s="173">
        <f t="shared" si="4"/>
        <v>7.1587499999999998E-2</v>
      </c>
    </row>
    <row r="74" spans="2:27" x14ac:dyDescent="0.15">
      <c r="B74" t="s">
        <v>566</v>
      </c>
      <c r="C74" s="172">
        <v>0.124</v>
      </c>
    </row>
    <row r="75" spans="2:27" x14ac:dyDescent="0.15">
      <c r="B75" t="s">
        <v>567</v>
      </c>
      <c r="C75" s="172">
        <v>6.5500000000000003E-2</v>
      </c>
    </row>
    <row r="76" spans="2:27" x14ac:dyDescent="0.15">
      <c r="B76" t="s">
        <v>568</v>
      </c>
      <c r="C76" s="170">
        <v>0.25</v>
      </c>
    </row>
    <row r="77" spans="2:27" x14ac:dyDescent="0.15">
      <c r="B77" t="s">
        <v>569</v>
      </c>
    </row>
    <row r="78" spans="2:27" x14ac:dyDescent="0.15">
      <c r="C78" s="266"/>
      <c r="D78" s="266"/>
      <c r="E78" s="266"/>
    </row>
    <row r="79" spans="2:27" x14ac:dyDescent="0.15">
      <c r="C79" s="172"/>
      <c r="D79" s="172"/>
      <c r="E79" s="172"/>
    </row>
  </sheetData>
  <mergeCells count="11">
    <mergeCell ref="C78:E78"/>
    <mergeCell ref="Z4:AA4"/>
    <mergeCell ref="V4:W4"/>
    <mergeCell ref="K3:L3"/>
    <mergeCell ref="G4:S4"/>
    <mergeCell ref="C51:D51"/>
    <mergeCell ref="J5:L5"/>
    <mergeCell ref="N5:O5"/>
    <mergeCell ref="C40:N40"/>
    <mergeCell ref="C32:D32"/>
    <mergeCell ref="C46:D46"/>
  </mergeCells>
  <phoneticPr fontId="14" type="noConversion"/>
  <dataValidations count="6">
    <dataValidation type="list" allowBlank="1" showInputMessage="1" showErrorMessage="1" sqref="F42">
      <formula1>$N$6:$N$10</formula1>
    </dataValidation>
    <dataValidation type="list" allowBlank="1" showInputMessage="1" showErrorMessage="1" sqref="P42">
      <formula1>$F$38:$F$44</formula1>
    </dataValidation>
    <dataValidation type="list" allowBlank="1" showInputMessage="1" showErrorMessage="1" sqref="C42">
      <formula1>$G$6:$G$15</formula1>
    </dataValidation>
    <dataValidation type="list" allowBlank="1" showInputMessage="1" showErrorMessage="1" sqref="L42">
      <formula1>$R$6:$R$9</formula1>
    </dataValidation>
    <dataValidation type="list" errorStyle="information" allowBlank="1" showInputMessage="1" showErrorMessage="1" error="please input valid number 1-7" sqref="C34">
      <formula1>$D$6:$D$11</formula1>
    </dataValidation>
    <dataValidation type="list" allowBlank="1" showInputMessage="1" showErrorMessage="1" sqref="C48">
      <formula1>$V$6:$V$8</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28"/>
  <sheetViews>
    <sheetView tabSelected="1" workbookViewId="0">
      <selection activeCell="E6" sqref="E6"/>
    </sheetView>
  </sheetViews>
  <sheetFormatPr defaultRowHeight="13.5" x14ac:dyDescent="0.15"/>
  <cols>
    <col min="2" max="2" width="40.5" bestFit="1" customWidth="1"/>
    <col min="3" max="3" width="12.875" bestFit="1" customWidth="1"/>
    <col min="4" max="4" width="11.625" bestFit="1" customWidth="1"/>
    <col min="5" max="5" width="26.875" bestFit="1" customWidth="1"/>
    <col min="6" max="6" width="18.875" bestFit="1" customWidth="1"/>
    <col min="7" max="7" width="18.375" style="188" bestFit="1" customWidth="1"/>
    <col min="8" max="8" width="34.5" style="232" customWidth="1"/>
    <col min="9" max="9" width="16.625" style="8" customWidth="1"/>
    <col min="10" max="10" width="16.25" style="8" customWidth="1"/>
    <col min="11" max="11" width="11.75" style="8" customWidth="1"/>
  </cols>
  <sheetData>
    <row r="1" spans="1:11" ht="48.75" customHeight="1" x14ac:dyDescent="0.15">
      <c r="G1" s="442"/>
      <c r="I1" s="232"/>
    </row>
    <row r="2" spans="1:11" ht="27" x14ac:dyDescent="0.25">
      <c r="A2" s="234" t="s">
        <v>682</v>
      </c>
      <c r="B2" s="233" t="s">
        <v>725</v>
      </c>
      <c r="C2" s="165" t="s">
        <v>776</v>
      </c>
      <c r="D2" s="165" t="s">
        <v>777</v>
      </c>
      <c r="E2" s="165" t="s">
        <v>778</v>
      </c>
      <c r="F2" s="166" t="s">
        <v>721</v>
      </c>
      <c r="H2" s="250" t="s">
        <v>774</v>
      </c>
      <c r="I2" s="236" t="s">
        <v>695</v>
      </c>
      <c r="J2" s="236" t="s">
        <v>691</v>
      </c>
      <c r="K2" s="236" t="s">
        <v>692</v>
      </c>
    </row>
    <row r="3" spans="1:11" ht="69" customHeight="1" x14ac:dyDescent="0.15">
      <c r="B3" s="162" t="s">
        <v>687</v>
      </c>
      <c r="C3" s="1">
        <v>2</v>
      </c>
      <c r="D3" s="1" t="s">
        <v>559</v>
      </c>
      <c r="E3" s="1">
        <v>1</v>
      </c>
      <c r="F3" s="163">
        <v>33825000</v>
      </c>
      <c r="G3" s="188">
        <f>F3/10000</f>
        <v>3382.5</v>
      </c>
      <c r="H3" s="251" t="s">
        <v>775</v>
      </c>
      <c r="I3" s="8" t="s">
        <v>697</v>
      </c>
      <c r="J3" s="8" t="s">
        <v>696</v>
      </c>
      <c r="K3" s="249">
        <v>0.5</v>
      </c>
    </row>
    <row r="4" spans="1:11" ht="48" customHeight="1" x14ac:dyDescent="0.15">
      <c r="B4" s="443" t="s">
        <v>434</v>
      </c>
      <c r="C4" s="1">
        <v>3</v>
      </c>
      <c r="D4" s="444" t="s">
        <v>63</v>
      </c>
      <c r="E4" s="1">
        <v>2</v>
      </c>
      <c r="F4" s="163">
        <v>12915000</v>
      </c>
      <c r="G4" s="188">
        <f t="shared" ref="G4:G67" si="0">F4/10000</f>
        <v>1291.5</v>
      </c>
      <c r="H4" s="232" t="s">
        <v>734</v>
      </c>
      <c r="I4" s="8" t="s">
        <v>735</v>
      </c>
      <c r="J4" s="8" t="s">
        <v>736</v>
      </c>
      <c r="K4" s="249">
        <v>0.4</v>
      </c>
    </row>
    <row r="5" spans="1:11" ht="14.25" x14ac:dyDescent="0.15">
      <c r="B5" s="162" t="s">
        <v>435</v>
      </c>
      <c r="C5" s="1">
        <v>6</v>
      </c>
      <c r="D5" s="1" t="s">
        <v>64</v>
      </c>
      <c r="E5" s="1" t="s">
        <v>558</v>
      </c>
      <c r="F5" s="164">
        <v>70000000</v>
      </c>
      <c r="G5" s="188">
        <f t="shared" si="0"/>
        <v>7000</v>
      </c>
    </row>
    <row r="6" spans="1:11" ht="14.25" x14ac:dyDescent="0.15">
      <c r="B6" s="162" t="s">
        <v>436</v>
      </c>
      <c r="C6" s="1">
        <v>5</v>
      </c>
      <c r="D6" s="1" t="s">
        <v>65</v>
      </c>
      <c r="E6" s="1" t="s">
        <v>558</v>
      </c>
      <c r="F6" s="163">
        <v>10000000</v>
      </c>
      <c r="G6" s="188">
        <f t="shared" si="0"/>
        <v>1000</v>
      </c>
    </row>
    <row r="7" spans="1:11" ht="14.25" x14ac:dyDescent="0.15">
      <c r="B7" s="162" t="s">
        <v>437</v>
      </c>
      <c r="C7" s="1"/>
      <c r="D7" s="1"/>
      <c r="E7" s="1"/>
      <c r="F7" s="163">
        <v>178350000</v>
      </c>
      <c r="G7" s="188">
        <f t="shared" si="0"/>
        <v>17835</v>
      </c>
    </row>
    <row r="8" spans="1:11" ht="14.25" x14ac:dyDescent="0.15">
      <c r="B8" s="162" t="s">
        <v>438</v>
      </c>
      <c r="C8" s="1">
        <v>7</v>
      </c>
      <c r="D8" s="1"/>
      <c r="E8" s="1"/>
      <c r="F8" s="163">
        <v>1000000</v>
      </c>
      <c r="G8" s="188">
        <f t="shared" si="0"/>
        <v>100</v>
      </c>
    </row>
    <row r="9" spans="1:11" ht="14.25" x14ac:dyDescent="0.15">
      <c r="B9" s="162" t="s">
        <v>439</v>
      </c>
      <c r="C9" s="1">
        <v>7</v>
      </c>
      <c r="D9" s="1" t="s">
        <v>66</v>
      </c>
      <c r="E9" s="1" t="s">
        <v>558</v>
      </c>
      <c r="F9" s="163">
        <v>500000</v>
      </c>
      <c r="G9" s="188">
        <f t="shared" si="0"/>
        <v>50</v>
      </c>
    </row>
    <row r="10" spans="1:11" ht="14.25" x14ac:dyDescent="0.15">
      <c r="B10" s="162" t="s">
        <v>440</v>
      </c>
      <c r="C10" s="1">
        <v>6</v>
      </c>
      <c r="D10" s="1" t="s">
        <v>67</v>
      </c>
      <c r="E10" s="1">
        <v>3</v>
      </c>
      <c r="F10" s="163">
        <v>35670000</v>
      </c>
      <c r="G10" s="188">
        <f t="shared" si="0"/>
        <v>3567</v>
      </c>
    </row>
    <row r="11" spans="1:11" ht="14.25" x14ac:dyDescent="0.15">
      <c r="B11" s="162" t="s">
        <v>441</v>
      </c>
      <c r="C11" s="1">
        <v>7</v>
      </c>
      <c r="D11" s="1" t="s">
        <v>65</v>
      </c>
      <c r="E11" s="1" t="s">
        <v>558</v>
      </c>
      <c r="F11" s="163">
        <v>10000000</v>
      </c>
      <c r="G11" s="188">
        <f t="shared" si="0"/>
        <v>1000</v>
      </c>
    </row>
    <row r="12" spans="1:11" ht="14.25" x14ac:dyDescent="0.15">
      <c r="B12" s="162" t="s">
        <v>681</v>
      </c>
      <c r="C12" s="1">
        <v>2</v>
      </c>
      <c r="D12" s="1" t="s">
        <v>68</v>
      </c>
      <c r="E12" s="1">
        <v>1</v>
      </c>
      <c r="F12" s="163">
        <v>510000000</v>
      </c>
      <c r="G12" s="188">
        <f t="shared" si="0"/>
        <v>51000</v>
      </c>
    </row>
    <row r="13" spans="1:11" ht="14.25" x14ac:dyDescent="0.15">
      <c r="B13" s="162" t="s">
        <v>442</v>
      </c>
      <c r="C13" s="1">
        <v>6</v>
      </c>
      <c r="D13" s="1" t="s">
        <v>69</v>
      </c>
      <c r="E13" s="1">
        <v>3</v>
      </c>
      <c r="F13" s="163">
        <v>103320000</v>
      </c>
      <c r="G13" s="188">
        <f t="shared" si="0"/>
        <v>10332</v>
      </c>
    </row>
    <row r="14" spans="1:11" ht="14.25" x14ac:dyDescent="0.15">
      <c r="B14" s="162" t="s">
        <v>443</v>
      </c>
      <c r="C14" s="1">
        <v>8</v>
      </c>
      <c r="D14" s="1" t="s">
        <v>70</v>
      </c>
      <c r="E14" s="1">
        <v>3</v>
      </c>
      <c r="F14" s="163">
        <v>20250000</v>
      </c>
      <c r="G14" s="188">
        <f t="shared" si="0"/>
        <v>2025</v>
      </c>
    </row>
    <row r="15" spans="1:11" ht="14.25" x14ac:dyDescent="0.15">
      <c r="B15" s="162" t="s">
        <v>444</v>
      </c>
      <c r="C15" s="1">
        <v>5</v>
      </c>
      <c r="D15" s="1">
        <v>0</v>
      </c>
      <c r="E15" s="1"/>
      <c r="F15" s="163">
        <v>5000000</v>
      </c>
      <c r="G15" s="188">
        <f t="shared" si="0"/>
        <v>500</v>
      </c>
    </row>
    <row r="16" spans="1:11" ht="14.25" x14ac:dyDescent="0.15">
      <c r="B16" s="162" t="s">
        <v>445</v>
      </c>
      <c r="C16" s="1">
        <v>7</v>
      </c>
      <c r="D16" s="1" t="s">
        <v>71</v>
      </c>
      <c r="E16" s="1" t="s">
        <v>575</v>
      </c>
      <c r="F16" s="163">
        <v>100000000</v>
      </c>
      <c r="G16" s="188">
        <f t="shared" si="0"/>
        <v>10000</v>
      </c>
    </row>
    <row r="17" spans="2:7" ht="14.25" x14ac:dyDescent="0.15">
      <c r="B17" s="162" t="s">
        <v>446</v>
      </c>
      <c r="C17" s="1">
        <v>4</v>
      </c>
      <c r="D17" s="1" t="s">
        <v>72</v>
      </c>
      <c r="E17" s="1">
        <v>2</v>
      </c>
      <c r="F17" s="163">
        <v>209100000</v>
      </c>
      <c r="G17" s="188">
        <f t="shared" si="0"/>
        <v>20910</v>
      </c>
    </row>
    <row r="18" spans="2:7" ht="14.25" x14ac:dyDescent="0.15">
      <c r="B18" s="162" t="s">
        <v>447</v>
      </c>
      <c r="C18" s="1">
        <v>1</v>
      </c>
      <c r="D18" s="1" t="s">
        <v>62</v>
      </c>
      <c r="E18" s="1">
        <v>1</v>
      </c>
      <c r="F18" s="163">
        <v>29766000</v>
      </c>
      <c r="G18" s="188">
        <f t="shared" si="0"/>
        <v>2976.6</v>
      </c>
    </row>
    <row r="19" spans="2:7" ht="14.25" x14ac:dyDescent="0.15">
      <c r="B19" s="162" t="s">
        <v>448</v>
      </c>
      <c r="C19" s="1">
        <v>8</v>
      </c>
      <c r="D19" s="1" t="s">
        <v>66</v>
      </c>
      <c r="E19" s="1" t="s">
        <v>575</v>
      </c>
      <c r="F19" s="163">
        <v>500000</v>
      </c>
      <c r="G19" s="188">
        <f t="shared" si="0"/>
        <v>50</v>
      </c>
    </row>
    <row r="20" spans="2:7" ht="14.25" x14ac:dyDescent="0.15">
      <c r="B20" s="162" t="s">
        <v>449</v>
      </c>
      <c r="C20" s="1">
        <v>5</v>
      </c>
      <c r="D20" s="1" t="s">
        <v>73</v>
      </c>
      <c r="E20" s="1" t="s">
        <v>575</v>
      </c>
      <c r="F20" s="163">
        <v>5000000</v>
      </c>
      <c r="G20" s="188">
        <f t="shared" si="0"/>
        <v>500</v>
      </c>
    </row>
    <row r="21" spans="2:7" ht="14.25" x14ac:dyDescent="0.15">
      <c r="B21" s="162" t="s">
        <v>450</v>
      </c>
      <c r="C21" s="1">
        <v>6</v>
      </c>
      <c r="D21" s="1" t="s">
        <v>67</v>
      </c>
      <c r="E21" s="1">
        <v>3</v>
      </c>
      <c r="F21" s="163">
        <v>10393000</v>
      </c>
      <c r="G21" s="188">
        <f t="shared" si="0"/>
        <v>1039.3</v>
      </c>
    </row>
    <row r="22" spans="2:7" ht="14.25" x14ac:dyDescent="0.15">
      <c r="B22" s="162" t="s">
        <v>451</v>
      </c>
      <c r="C22" s="1">
        <v>3</v>
      </c>
      <c r="D22" s="1" t="s">
        <v>72</v>
      </c>
      <c r="E22" s="1">
        <v>2</v>
      </c>
      <c r="F22" s="163">
        <v>153750000</v>
      </c>
      <c r="G22" s="188">
        <f t="shared" si="0"/>
        <v>15375</v>
      </c>
    </row>
    <row r="23" spans="2:7" ht="14.25" x14ac:dyDescent="0.15">
      <c r="B23" s="162" t="s">
        <v>452</v>
      </c>
      <c r="C23" s="1">
        <v>3</v>
      </c>
      <c r="D23" s="1" t="s">
        <v>74</v>
      </c>
      <c r="E23" s="1">
        <v>2</v>
      </c>
      <c r="F23" s="163">
        <v>700000000</v>
      </c>
      <c r="G23" s="188">
        <f t="shared" si="0"/>
        <v>70000</v>
      </c>
    </row>
    <row r="24" spans="2:7" ht="14.25" x14ac:dyDescent="0.15">
      <c r="B24" s="162" t="s">
        <v>453</v>
      </c>
      <c r="C24" s="1">
        <v>3</v>
      </c>
      <c r="D24" s="1" t="s">
        <v>75</v>
      </c>
      <c r="E24" s="1">
        <v>2</v>
      </c>
      <c r="F24" s="163">
        <v>10000000</v>
      </c>
      <c r="G24" s="188">
        <f t="shared" si="0"/>
        <v>1000</v>
      </c>
    </row>
    <row r="25" spans="2:7" ht="14.25" x14ac:dyDescent="0.15">
      <c r="B25" s="162" t="s">
        <v>454</v>
      </c>
      <c r="C25" s="1">
        <v>7</v>
      </c>
      <c r="D25" s="1" t="s">
        <v>76</v>
      </c>
      <c r="E25" s="1">
        <v>3</v>
      </c>
      <c r="F25" s="163">
        <v>500000</v>
      </c>
      <c r="G25" s="188">
        <f t="shared" si="0"/>
        <v>50</v>
      </c>
    </row>
    <row r="26" spans="2:7" ht="14.25" x14ac:dyDescent="0.15">
      <c r="B26" s="162" t="s">
        <v>455</v>
      </c>
      <c r="C26" s="1">
        <v>6</v>
      </c>
      <c r="D26" s="1" t="s">
        <v>77</v>
      </c>
      <c r="E26" s="1">
        <v>3</v>
      </c>
      <c r="F26" s="163">
        <v>5000000</v>
      </c>
      <c r="G26" s="188">
        <f t="shared" si="0"/>
        <v>500</v>
      </c>
    </row>
    <row r="27" spans="2:7" ht="14.25" x14ac:dyDescent="0.15">
      <c r="B27" s="162" t="s">
        <v>456</v>
      </c>
      <c r="C27" s="1">
        <v>4</v>
      </c>
      <c r="D27" s="1" t="s">
        <v>74</v>
      </c>
      <c r="E27" s="1">
        <v>2</v>
      </c>
      <c r="F27" s="163">
        <v>29050000</v>
      </c>
      <c r="G27" s="188">
        <f t="shared" si="0"/>
        <v>2905</v>
      </c>
    </row>
    <row r="28" spans="2:7" ht="14.25" x14ac:dyDescent="0.15">
      <c r="B28" s="162" t="s">
        <v>457</v>
      </c>
      <c r="C28" s="1">
        <v>7</v>
      </c>
      <c r="D28" s="1" t="s">
        <v>65</v>
      </c>
      <c r="E28" s="1" t="s">
        <v>575</v>
      </c>
      <c r="F28" s="163">
        <v>57078752</v>
      </c>
      <c r="G28" s="188">
        <f t="shared" si="0"/>
        <v>5707.8752000000004</v>
      </c>
    </row>
    <row r="29" spans="2:7" ht="14.25" x14ac:dyDescent="0.15">
      <c r="B29" s="162" t="s">
        <v>458</v>
      </c>
      <c r="C29" s="1">
        <v>3</v>
      </c>
      <c r="D29" s="1" t="s">
        <v>78</v>
      </c>
      <c r="E29" s="1">
        <v>2</v>
      </c>
      <c r="F29" s="163">
        <v>7530000</v>
      </c>
      <c r="G29" s="188">
        <f t="shared" si="0"/>
        <v>753</v>
      </c>
    </row>
    <row r="30" spans="2:7" ht="14.25" x14ac:dyDescent="0.15">
      <c r="B30" s="162" t="s">
        <v>459</v>
      </c>
      <c r="C30" s="1">
        <v>8</v>
      </c>
      <c r="D30" s="1" t="s">
        <v>79</v>
      </c>
      <c r="E30" s="1">
        <v>3</v>
      </c>
      <c r="F30" s="163">
        <v>5500000</v>
      </c>
      <c r="G30" s="188">
        <f t="shared" si="0"/>
        <v>550</v>
      </c>
    </row>
    <row r="31" spans="2:7" ht="14.25" x14ac:dyDescent="0.15">
      <c r="B31" s="162" t="s">
        <v>460</v>
      </c>
      <c r="C31" s="1"/>
      <c r="D31" s="1" t="s">
        <v>80</v>
      </c>
      <c r="E31" s="1">
        <v>4</v>
      </c>
      <c r="F31" s="163">
        <v>1230000</v>
      </c>
      <c r="G31" s="188">
        <f t="shared" si="0"/>
        <v>123</v>
      </c>
    </row>
    <row r="32" spans="2:7" ht="14.25" x14ac:dyDescent="0.15">
      <c r="B32" s="162" t="s">
        <v>461</v>
      </c>
      <c r="C32" s="1">
        <v>6</v>
      </c>
      <c r="D32" s="1" t="s">
        <v>81</v>
      </c>
      <c r="E32" s="1">
        <v>3</v>
      </c>
      <c r="F32" s="163">
        <v>1000000</v>
      </c>
      <c r="G32" s="188">
        <f t="shared" si="0"/>
        <v>100</v>
      </c>
    </row>
    <row r="33" spans="2:8" ht="14.25" x14ac:dyDescent="0.15">
      <c r="B33" s="162" t="s">
        <v>462</v>
      </c>
      <c r="C33" s="1">
        <v>7</v>
      </c>
      <c r="D33" s="1" t="s">
        <v>69</v>
      </c>
      <c r="E33" s="1">
        <v>3</v>
      </c>
      <c r="F33" s="163">
        <v>300000000</v>
      </c>
      <c r="G33" s="188">
        <f t="shared" si="0"/>
        <v>30000</v>
      </c>
    </row>
    <row r="34" spans="2:8" ht="14.25" x14ac:dyDescent="0.15">
      <c r="B34" s="162" t="s">
        <v>463</v>
      </c>
      <c r="C34" s="1">
        <v>8</v>
      </c>
      <c r="D34" s="1" t="s">
        <v>82</v>
      </c>
      <c r="E34" s="1">
        <v>3</v>
      </c>
      <c r="F34" s="163">
        <v>246000000</v>
      </c>
      <c r="G34" s="188">
        <f t="shared" si="0"/>
        <v>24600</v>
      </c>
    </row>
    <row r="35" spans="2:8" ht="14.25" x14ac:dyDescent="0.15">
      <c r="B35" s="162" t="s">
        <v>464</v>
      </c>
      <c r="C35" s="1">
        <v>6</v>
      </c>
      <c r="D35" s="1" t="s">
        <v>67</v>
      </c>
      <c r="E35" s="1">
        <v>3</v>
      </c>
      <c r="F35" s="163">
        <v>9100000</v>
      </c>
      <c r="G35" s="188">
        <f t="shared" si="0"/>
        <v>910</v>
      </c>
    </row>
    <row r="36" spans="2:8" ht="14.25" x14ac:dyDescent="0.15">
      <c r="B36" s="162" t="s">
        <v>465</v>
      </c>
      <c r="C36" s="1">
        <v>6</v>
      </c>
      <c r="D36" s="1" t="s">
        <v>70</v>
      </c>
      <c r="E36" s="1">
        <v>3</v>
      </c>
      <c r="F36" s="163">
        <v>10000000</v>
      </c>
      <c r="G36" s="188">
        <f t="shared" si="0"/>
        <v>1000</v>
      </c>
    </row>
    <row r="37" spans="2:8" ht="14.25" x14ac:dyDescent="0.15">
      <c r="B37" s="162" t="s">
        <v>466</v>
      </c>
      <c r="C37" s="1">
        <v>6</v>
      </c>
      <c r="D37" s="1" t="s">
        <v>67</v>
      </c>
      <c r="E37" s="1">
        <v>3</v>
      </c>
      <c r="F37" s="163">
        <v>10000000</v>
      </c>
      <c r="G37" s="188">
        <f t="shared" si="0"/>
        <v>1000</v>
      </c>
    </row>
    <row r="38" spans="2:8" ht="14.25" x14ac:dyDescent="0.15">
      <c r="B38" s="162" t="s">
        <v>467</v>
      </c>
      <c r="C38" s="1">
        <v>1</v>
      </c>
      <c r="D38" s="1" t="s">
        <v>83</v>
      </c>
      <c r="E38" s="1">
        <v>1</v>
      </c>
      <c r="F38" s="163">
        <v>20880000</v>
      </c>
      <c r="G38" s="188">
        <f t="shared" si="0"/>
        <v>2088</v>
      </c>
    </row>
    <row r="39" spans="2:8" ht="14.25" x14ac:dyDescent="0.15">
      <c r="B39" s="162" t="s">
        <v>468</v>
      </c>
      <c r="C39" s="1">
        <v>9</v>
      </c>
      <c r="D39" s="1" t="s">
        <v>84</v>
      </c>
      <c r="E39" s="1" t="s">
        <v>575</v>
      </c>
      <c r="F39" s="163">
        <v>25000000</v>
      </c>
      <c r="G39" s="188">
        <f t="shared" si="0"/>
        <v>2500</v>
      </c>
    </row>
    <row r="40" spans="2:8" ht="14.25" x14ac:dyDescent="0.15">
      <c r="B40" s="162" t="s">
        <v>469</v>
      </c>
      <c r="C40" s="1">
        <v>3</v>
      </c>
      <c r="D40" s="1" t="s">
        <v>75</v>
      </c>
      <c r="E40" s="1">
        <v>2</v>
      </c>
      <c r="F40" s="163">
        <v>3000000</v>
      </c>
      <c r="G40" s="188">
        <f t="shared" si="0"/>
        <v>300</v>
      </c>
    </row>
    <row r="41" spans="2:8" ht="14.25" x14ac:dyDescent="0.15">
      <c r="B41" s="162" t="s">
        <v>470</v>
      </c>
      <c r="C41" s="1">
        <v>3</v>
      </c>
      <c r="D41" s="1" t="s">
        <v>85</v>
      </c>
      <c r="E41" s="1">
        <v>2</v>
      </c>
      <c r="F41" s="163">
        <v>1242423000</v>
      </c>
      <c r="G41" s="188">
        <f t="shared" si="0"/>
        <v>124242.3</v>
      </c>
    </row>
    <row r="42" spans="2:8" ht="14.25" x14ac:dyDescent="0.15">
      <c r="B42" s="162" t="s">
        <v>471</v>
      </c>
      <c r="C42" s="1">
        <v>6</v>
      </c>
      <c r="D42" s="1" t="s">
        <v>73</v>
      </c>
      <c r="E42" s="1" t="s">
        <v>575</v>
      </c>
      <c r="F42" s="163">
        <v>5000000</v>
      </c>
      <c r="G42" s="188">
        <f t="shared" si="0"/>
        <v>500</v>
      </c>
    </row>
    <row r="43" spans="2:8" ht="14.25" x14ac:dyDescent="0.15">
      <c r="B43" s="162" t="s">
        <v>472</v>
      </c>
      <c r="C43" s="1"/>
      <c r="D43" s="1" t="s">
        <v>86</v>
      </c>
      <c r="E43" s="1">
        <v>3</v>
      </c>
      <c r="F43" s="163">
        <v>5000000</v>
      </c>
      <c r="G43" s="188">
        <f t="shared" si="0"/>
        <v>500</v>
      </c>
    </row>
    <row r="44" spans="2:8" ht="40.5" x14ac:dyDescent="0.15">
      <c r="B44" s="162" t="s">
        <v>473</v>
      </c>
      <c r="C44" s="1">
        <v>1</v>
      </c>
      <c r="D44" s="1" t="s">
        <v>62</v>
      </c>
      <c r="E44" s="1">
        <v>1</v>
      </c>
      <c r="F44" s="163">
        <v>20000000</v>
      </c>
      <c r="G44" s="188">
        <f t="shared" si="0"/>
        <v>2000</v>
      </c>
      <c r="H44" s="232" t="s">
        <v>768</v>
      </c>
    </row>
    <row r="45" spans="2:8" ht="14.25" x14ac:dyDescent="0.15">
      <c r="B45" s="162" t="s">
        <v>474</v>
      </c>
      <c r="C45" s="1">
        <v>8</v>
      </c>
      <c r="D45" s="1" t="s">
        <v>81</v>
      </c>
      <c r="E45" s="1">
        <v>3</v>
      </c>
      <c r="F45" s="163">
        <v>1000000</v>
      </c>
      <c r="G45" s="188">
        <f t="shared" si="0"/>
        <v>100</v>
      </c>
    </row>
    <row r="46" spans="2:8" ht="14.25" x14ac:dyDescent="0.15">
      <c r="B46" s="162" t="s">
        <v>475</v>
      </c>
      <c r="C46" s="1">
        <v>8</v>
      </c>
      <c r="D46" s="1"/>
      <c r="E46" s="1"/>
      <c r="F46" s="163">
        <v>35000000</v>
      </c>
      <c r="G46" s="188">
        <f t="shared" si="0"/>
        <v>3500</v>
      </c>
    </row>
    <row r="47" spans="2:8" ht="14.25" x14ac:dyDescent="0.15">
      <c r="B47" s="162" t="s">
        <v>476</v>
      </c>
      <c r="C47" s="1">
        <v>6</v>
      </c>
      <c r="D47" s="1" t="s">
        <v>82</v>
      </c>
      <c r="E47" s="1">
        <v>3</v>
      </c>
      <c r="F47" s="163">
        <v>50846970</v>
      </c>
      <c r="G47" s="188">
        <f t="shared" si="0"/>
        <v>5084.6970000000001</v>
      </c>
    </row>
    <row r="48" spans="2:8" ht="14.25" x14ac:dyDescent="0.15">
      <c r="B48" s="162" t="s">
        <v>477</v>
      </c>
      <c r="C48" s="1">
        <v>1</v>
      </c>
      <c r="D48" s="1" t="s">
        <v>83</v>
      </c>
      <c r="E48" s="1">
        <v>1</v>
      </c>
      <c r="F48" s="163">
        <v>43111500</v>
      </c>
      <c r="G48" s="188">
        <f t="shared" si="0"/>
        <v>4311.1499999999996</v>
      </c>
    </row>
    <row r="49" spans="2:7" ht="14.25" x14ac:dyDescent="0.15">
      <c r="B49" s="162" t="s">
        <v>478</v>
      </c>
      <c r="C49" s="1">
        <v>6</v>
      </c>
      <c r="D49" s="1" t="s">
        <v>67</v>
      </c>
      <c r="E49" s="1">
        <v>3</v>
      </c>
      <c r="F49" s="163">
        <v>12140100</v>
      </c>
      <c r="G49" s="188">
        <f t="shared" si="0"/>
        <v>1214.01</v>
      </c>
    </row>
    <row r="50" spans="2:7" ht="14.25" x14ac:dyDescent="0.15">
      <c r="B50" s="162" t="s">
        <v>479</v>
      </c>
      <c r="C50" s="1">
        <v>4</v>
      </c>
      <c r="D50" s="1" t="s">
        <v>87</v>
      </c>
      <c r="E50" s="1" t="s">
        <v>575</v>
      </c>
      <c r="F50" s="163">
        <v>1018394483</v>
      </c>
      <c r="G50" s="188">
        <f t="shared" si="0"/>
        <v>101839.4483</v>
      </c>
    </row>
    <row r="51" spans="2:7" ht="14.25" x14ac:dyDescent="0.15">
      <c r="B51" s="162" t="s">
        <v>480</v>
      </c>
      <c r="C51" s="1">
        <v>6</v>
      </c>
      <c r="D51" s="1" t="s">
        <v>86</v>
      </c>
      <c r="E51" s="1">
        <v>3</v>
      </c>
      <c r="F51" s="163">
        <v>10880000</v>
      </c>
      <c r="G51" s="188">
        <f t="shared" si="0"/>
        <v>1088</v>
      </c>
    </row>
    <row r="52" spans="2:7" ht="14.25" x14ac:dyDescent="0.15">
      <c r="B52" s="162" t="s">
        <v>481</v>
      </c>
      <c r="C52" s="1">
        <v>5</v>
      </c>
      <c r="D52" s="1" t="s">
        <v>88</v>
      </c>
      <c r="E52" s="1">
        <v>2</v>
      </c>
      <c r="F52" s="163">
        <v>1230000</v>
      </c>
      <c r="G52" s="188">
        <f t="shared" si="0"/>
        <v>123</v>
      </c>
    </row>
    <row r="53" spans="2:7" ht="14.25" x14ac:dyDescent="0.15">
      <c r="B53" s="162" t="s">
        <v>482</v>
      </c>
      <c r="C53" s="1">
        <v>4</v>
      </c>
      <c r="D53" s="1" t="s">
        <v>4</v>
      </c>
      <c r="E53" s="1"/>
      <c r="F53" s="163">
        <v>73800000</v>
      </c>
      <c r="G53" s="188">
        <f t="shared" si="0"/>
        <v>7380</v>
      </c>
    </row>
    <row r="54" spans="2:7" ht="14.25" x14ac:dyDescent="0.15">
      <c r="B54" s="162" t="s">
        <v>483</v>
      </c>
      <c r="C54" s="1">
        <v>6</v>
      </c>
      <c r="D54" s="1" t="s">
        <v>73</v>
      </c>
      <c r="E54" s="1" t="s">
        <v>575</v>
      </c>
      <c r="F54" s="163">
        <v>5000000</v>
      </c>
      <c r="G54" s="188">
        <f t="shared" si="0"/>
        <v>500</v>
      </c>
    </row>
    <row r="55" spans="2:7" ht="14.25" x14ac:dyDescent="0.15">
      <c r="B55" s="162" t="s">
        <v>484</v>
      </c>
      <c r="C55" s="1">
        <v>7</v>
      </c>
      <c r="D55" s="1" t="s">
        <v>89</v>
      </c>
      <c r="E55" s="1" t="s">
        <v>575</v>
      </c>
      <c r="F55" s="163">
        <v>1000000</v>
      </c>
      <c r="G55" s="188">
        <f t="shared" si="0"/>
        <v>100</v>
      </c>
    </row>
    <row r="56" spans="2:7" ht="14.25" x14ac:dyDescent="0.15">
      <c r="B56" s="162" t="s">
        <v>485</v>
      </c>
      <c r="C56" s="1">
        <v>10</v>
      </c>
      <c r="D56" s="1" t="s">
        <v>67</v>
      </c>
      <c r="E56" s="1">
        <v>3</v>
      </c>
      <c r="F56" s="163">
        <v>50000000</v>
      </c>
      <c r="G56" s="188">
        <f t="shared" si="0"/>
        <v>5000</v>
      </c>
    </row>
    <row r="57" spans="2:7" ht="14.25" x14ac:dyDescent="0.15">
      <c r="B57" s="162" t="s">
        <v>486</v>
      </c>
      <c r="C57" s="1">
        <v>5</v>
      </c>
      <c r="D57" s="1" t="s">
        <v>63</v>
      </c>
      <c r="E57" s="1">
        <v>2</v>
      </c>
      <c r="F57" s="163">
        <v>38000000</v>
      </c>
      <c r="G57" s="188">
        <f t="shared" si="0"/>
        <v>3800</v>
      </c>
    </row>
    <row r="58" spans="2:7" ht="14.25" x14ac:dyDescent="0.15">
      <c r="B58" s="162" t="s">
        <v>487</v>
      </c>
      <c r="C58" s="1">
        <v>7</v>
      </c>
      <c r="D58" s="1" t="s">
        <v>90</v>
      </c>
      <c r="E58" s="1">
        <v>3</v>
      </c>
      <c r="F58" s="163">
        <v>5000000</v>
      </c>
      <c r="G58" s="188">
        <f t="shared" si="0"/>
        <v>500</v>
      </c>
    </row>
    <row r="59" spans="2:7" ht="14.25" x14ac:dyDescent="0.15">
      <c r="B59" s="162" t="s">
        <v>488</v>
      </c>
      <c r="C59" s="1">
        <v>6</v>
      </c>
      <c r="D59" s="1" t="s">
        <v>82</v>
      </c>
      <c r="E59" s="1">
        <v>3</v>
      </c>
      <c r="F59" s="163">
        <v>374768600</v>
      </c>
      <c r="G59" s="188">
        <f t="shared" si="0"/>
        <v>37476.86</v>
      </c>
    </row>
    <row r="60" spans="2:7" ht="14.25" x14ac:dyDescent="0.15">
      <c r="B60" s="162" t="s">
        <v>489</v>
      </c>
      <c r="C60" s="1">
        <v>9</v>
      </c>
      <c r="D60" s="1" t="s">
        <v>91</v>
      </c>
      <c r="E60" s="1">
        <v>3</v>
      </c>
      <c r="F60" s="163">
        <v>5000000</v>
      </c>
      <c r="G60" s="188">
        <f t="shared" si="0"/>
        <v>500</v>
      </c>
    </row>
    <row r="61" spans="2:7" ht="14.25" x14ac:dyDescent="0.15">
      <c r="B61" s="162" t="s">
        <v>490</v>
      </c>
      <c r="C61" s="1">
        <v>9</v>
      </c>
      <c r="D61" s="1" t="s">
        <v>73</v>
      </c>
      <c r="E61" s="1" t="s">
        <v>575</v>
      </c>
      <c r="F61" s="163">
        <v>5000000</v>
      </c>
      <c r="G61" s="188">
        <f t="shared" si="0"/>
        <v>500</v>
      </c>
    </row>
    <row r="62" spans="2:7" ht="14.25" x14ac:dyDescent="0.15">
      <c r="B62" s="162" t="s">
        <v>491</v>
      </c>
      <c r="C62" s="1">
        <v>2</v>
      </c>
      <c r="D62" s="1" t="s">
        <v>62</v>
      </c>
      <c r="E62" s="1">
        <v>1</v>
      </c>
      <c r="F62" s="163">
        <v>30750000</v>
      </c>
      <c r="G62" s="188">
        <f t="shared" si="0"/>
        <v>3075</v>
      </c>
    </row>
    <row r="63" spans="2:7" ht="14.25" x14ac:dyDescent="0.15">
      <c r="B63" s="162" t="s">
        <v>492</v>
      </c>
      <c r="C63" s="1">
        <v>5</v>
      </c>
      <c r="D63" s="1"/>
      <c r="E63" s="1"/>
      <c r="F63" s="163">
        <v>100000000</v>
      </c>
      <c r="G63" s="188">
        <f t="shared" si="0"/>
        <v>10000</v>
      </c>
    </row>
    <row r="64" spans="2:7" ht="14.25" x14ac:dyDescent="0.15">
      <c r="B64" s="162" t="s">
        <v>493</v>
      </c>
      <c r="C64" s="1">
        <v>7</v>
      </c>
      <c r="D64" s="1" t="s">
        <v>67</v>
      </c>
      <c r="E64" s="1">
        <v>3</v>
      </c>
      <c r="F64" s="163">
        <v>78271460</v>
      </c>
      <c r="G64" s="188">
        <f t="shared" si="0"/>
        <v>7827.1459999999997</v>
      </c>
    </row>
    <row r="65" spans="2:7" ht="14.25" x14ac:dyDescent="0.15">
      <c r="B65" s="162" t="s">
        <v>494</v>
      </c>
      <c r="C65" s="1">
        <v>6</v>
      </c>
      <c r="D65" s="1" t="s">
        <v>65</v>
      </c>
      <c r="E65" s="1" t="s">
        <v>575</v>
      </c>
      <c r="F65" s="163">
        <v>10000000</v>
      </c>
      <c r="G65" s="188">
        <f t="shared" si="0"/>
        <v>1000</v>
      </c>
    </row>
    <row r="66" spans="2:7" ht="14.25" x14ac:dyDescent="0.15">
      <c r="B66" s="162" t="s">
        <v>495</v>
      </c>
      <c r="C66" s="1">
        <v>3</v>
      </c>
      <c r="D66" s="1" t="s">
        <v>64</v>
      </c>
      <c r="E66" s="1" t="s">
        <v>575</v>
      </c>
      <c r="F66" s="163">
        <v>21692895</v>
      </c>
      <c r="G66" s="188">
        <f t="shared" si="0"/>
        <v>2169.2894999999999</v>
      </c>
    </row>
    <row r="67" spans="2:7" ht="14.25" x14ac:dyDescent="0.15">
      <c r="B67" s="162" t="s">
        <v>496</v>
      </c>
      <c r="C67" s="1">
        <v>5</v>
      </c>
      <c r="D67" s="1" t="s">
        <v>63</v>
      </c>
      <c r="E67" s="1">
        <v>2</v>
      </c>
      <c r="F67" s="163">
        <v>10000000</v>
      </c>
      <c r="G67" s="188">
        <f t="shared" si="0"/>
        <v>1000</v>
      </c>
    </row>
    <row r="68" spans="2:7" ht="14.25" x14ac:dyDescent="0.15">
      <c r="B68" s="162" t="s">
        <v>497</v>
      </c>
      <c r="C68" s="1">
        <v>8</v>
      </c>
      <c r="D68" s="1" t="s">
        <v>76</v>
      </c>
      <c r="E68" s="1">
        <v>3</v>
      </c>
      <c r="F68" s="163">
        <v>3075000</v>
      </c>
      <c r="G68" s="188">
        <f t="shared" ref="G68:G128" si="1">F68/10000</f>
        <v>307.5</v>
      </c>
    </row>
    <row r="69" spans="2:7" ht="14.25" x14ac:dyDescent="0.15">
      <c r="B69" s="162" t="s">
        <v>498</v>
      </c>
      <c r="C69" s="1">
        <v>5</v>
      </c>
      <c r="D69" s="1" t="s">
        <v>92</v>
      </c>
      <c r="E69" s="1">
        <v>2</v>
      </c>
      <c r="F69" s="163">
        <v>3075000</v>
      </c>
      <c r="G69" s="188">
        <f t="shared" si="1"/>
        <v>307.5</v>
      </c>
    </row>
    <row r="70" spans="2:7" ht="14.25" x14ac:dyDescent="0.15">
      <c r="B70" s="162" t="s">
        <v>499</v>
      </c>
      <c r="C70" s="1">
        <v>5</v>
      </c>
      <c r="D70" s="1" t="s">
        <v>93</v>
      </c>
      <c r="E70" s="1">
        <v>2</v>
      </c>
      <c r="F70" s="163">
        <v>1500000</v>
      </c>
      <c r="G70" s="188">
        <f t="shared" si="1"/>
        <v>150</v>
      </c>
    </row>
    <row r="71" spans="2:7" ht="14.25" x14ac:dyDescent="0.15">
      <c r="B71" s="162" t="s">
        <v>500</v>
      </c>
      <c r="C71" s="1">
        <v>8</v>
      </c>
      <c r="D71" s="1" t="s">
        <v>94</v>
      </c>
      <c r="E71" s="1">
        <v>3</v>
      </c>
      <c r="F71" s="163">
        <v>2000000</v>
      </c>
      <c r="G71" s="188">
        <f t="shared" si="1"/>
        <v>200</v>
      </c>
    </row>
    <row r="72" spans="2:7" ht="14.25" x14ac:dyDescent="0.15">
      <c r="B72" s="162" t="s">
        <v>501</v>
      </c>
      <c r="C72" s="1">
        <v>4</v>
      </c>
      <c r="D72" s="1" t="s">
        <v>95</v>
      </c>
      <c r="E72" s="1">
        <v>2</v>
      </c>
      <c r="F72" s="163">
        <v>6000000</v>
      </c>
      <c r="G72" s="188">
        <f t="shared" si="1"/>
        <v>600</v>
      </c>
    </row>
    <row r="73" spans="2:7" ht="14.25" x14ac:dyDescent="0.15">
      <c r="B73" s="162" t="s">
        <v>502</v>
      </c>
      <c r="C73" s="1">
        <v>7</v>
      </c>
      <c r="D73" s="1" t="s">
        <v>79</v>
      </c>
      <c r="E73" s="1">
        <v>3</v>
      </c>
      <c r="F73" s="163">
        <v>1000000</v>
      </c>
      <c r="G73" s="188">
        <f t="shared" si="1"/>
        <v>100</v>
      </c>
    </row>
    <row r="74" spans="2:7" ht="14.25" x14ac:dyDescent="0.15">
      <c r="B74" s="162" t="s">
        <v>503</v>
      </c>
      <c r="C74" s="1">
        <v>9</v>
      </c>
      <c r="D74" s="1" t="s">
        <v>89</v>
      </c>
      <c r="E74" s="1" t="s">
        <v>575</v>
      </c>
      <c r="F74" s="163">
        <v>1000000</v>
      </c>
      <c r="G74" s="188">
        <f t="shared" si="1"/>
        <v>100</v>
      </c>
    </row>
    <row r="75" spans="2:7" ht="14.25" x14ac:dyDescent="0.15">
      <c r="B75" s="162" t="s">
        <v>504</v>
      </c>
      <c r="C75" s="1">
        <v>4</v>
      </c>
      <c r="D75" s="1" t="s">
        <v>96</v>
      </c>
      <c r="E75" s="1">
        <v>2</v>
      </c>
      <c r="F75" s="163">
        <v>3000000</v>
      </c>
      <c r="G75" s="188">
        <f t="shared" si="1"/>
        <v>300</v>
      </c>
    </row>
    <row r="76" spans="2:7" ht="14.25" x14ac:dyDescent="0.15">
      <c r="B76" s="162" t="s">
        <v>505</v>
      </c>
      <c r="C76" s="1">
        <v>6</v>
      </c>
      <c r="D76" s="1" t="s">
        <v>70</v>
      </c>
      <c r="E76" s="1">
        <v>3</v>
      </c>
      <c r="F76" s="163">
        <v>35000000</v>
      </c>
      <c r="G76" s="188">
        <f t="shared" si="1"/>
        <v>3500</v>
      </c>
    </row>
    <row r="77" spans="2:7" ht="14.25" x14ac:dyDescent="0.15">
      <c r="B77" s="162" t="s">
        <v>506</v>
      </c>
      <c r="C77" s="1">
        <v>1</v>
      </c>
      <c r="D77" s="1" t="s">
        <v>62</v>
      </c>
      <c r="E77" s="1">
        <v>1</v>
      </c>
      <c r="F77" s="163">
        <v>21000000</v>
      </c>
      <c r="G77" s="188">
        <f t="shared" si="1"/>
        <v>2100</v>
      </c>
    </row>
    <row r="78" spans="2:7" ht="14.25" x14ac:dyDescent="0.15">
      <c r="B78" s="162" t="s">
        <v>507</v>
      </c>
      <c r="C78" s="1">
        <v>7</v>
      </c>
      <c r="D78" s="1"/>
      <c r="E78" s="1"/>
      <c r="F78" s="163">
        <v>2000000</v>
      </c>
      <c r="G78" s="188">
        <f t="shared" si="1"/>
        <v>200</v>
      </c>
    </row>
    <row r="79" spans="2:7" ht="14.25" x14ac:dyDescent="0.15">
      <c r="B79" s="162" t="s">
        <v>508</v>
      </c>
      <c r="C79" s="1"/>
      <c r="D79" s="1" t="s">
        <v>97</v>
      </c>
      <c r="E79" s="1" t="s">
        <v>575</v>
      </c>
      <c r="F79" s="163">
        <v>3075000</v>
      </c>
      <c r="G79" s="188">
        <f t="shared" si="1"/>
        <v>307.5</v>
      </c>
    </row>
    <row r="80" spans="2:7" ht="14.25" x14ac:dyDescent="0.15">
      <c r="B80" s="162" t="s">
        <v>509</v>
      </c>
      <c r="C80" s="1">
        <v>7</v>
      </c>
      <c r="D80" s="1" t="s">
        <v>98</v>
      </c>
      <c r="E80" s="1">
        <v>3</v>
      </c>
      <c r="F80" s="163">
        <v>400000000</v>
      </c>
      <c r="G80" s="188">
        <f t="shared" si="1"/>
        <v>40000</v>
      </c>
    </row>
    <row r="81" spans="2:7" ht="14.25" x14ac:dyDescent="0.15">
      <c r="B81" s="162" t="s">
        <v>510</v>
      </c>
      <c r="C81" s="1">
        <v>4</v>
      </c>
      <c r="D81" s="1" t="s">
        <v>75</v>
      </c>
      <c r="E81" s="1">
        <v>2</v>
      </c>
      <c r="F81" s="163">
        <v>6150000</v>
      </c>
      <c r="G81" s="188">
        <f t="shared" si="1"/>
        <v>615</v>
      </c>
    </row>
    <row r="82" spans="2:7" ht="14.25" x14ac:dyDescent="0.15">
      <c r="B82" s="162" t="s">
        <v>511</v>
      </c>
      <c r="C82" s="1">
        <v>6</v>
      </c>
      <c r="D82" s="1" t="s">
        <v>67</v>
      </c>
      <c r="E82" s="1">
        <v>3</v>
      </c>
      <c r="F82" s="163">
        <v>8610000</v>
      </c>
      <c r="G82" s="188">
        <f t="shared" si="1"/>
        <v>861</v>
      </c>
    </row>
    <row r="83" spans="2:7" ht="14.25" x14ac:dyDescent="0.15">
      <c r="B83" s="162" t="s">
        <v>512</v>
      </c>
      <c r="C83" s="1">
        <v>6</v>
      </c>
      <c r="D83" s="1" t="s">
        <v>99</v>
      </c>
      <c r="E83" s="1">
        <v>3</v>
      </c>
      <c r="F83" s="163">
        <v>1000000</v>
      </c>
      <c r="G83" s="188">
        <f t="shared" si="1"/>
        <v>100</v>
      </c>
    </row>
    <row r="84" spans="2:7" ht="14.25" x14ac:dyDescent="0.15">
      <c r="B84" s="162" t="s">
        <v>513</v>
      </c>
      <c r="C84" s="1">
        <v>5</v>
      </c>
      <c r="D84" s="1" t="s">
        <v>65</v>
      </c>
      <c r="E84" s="1" t="s">
        <v>575</v>
      </c>
      <c r="F84" s="163">
        <v>16482000.000000002</v>
      </c>
      <c r="G84" s="188">
        <f t="shared" si="1"/>
        <v>1648.2000000000003</v>
      </c>
    </row>
    <row r="85" spans="2:7" ht="14.25" x14ac:dyDescent="0.15">
      <c r="B85" s="162" t="s">
        <v>514</v>
      </c>
      <c r="C85" s="1">
        <v>6</v>
      </c>
      <c r="D85" s="1" t="s">
        <v>70</v>
      </c>
      <c r="E85" s="1">
        <v>3</v>
      </c>
      <c r="F85" s="163">
        <v>10000000</v>
      </c>
      <c r="G85" s="188">
        <f t="shared" si="1"/>
        <v>1000</v>
      </c>
    </row>
    <row r="86" spans="2:7" ht="14.25" x14ac:dyDescent="0.15">
      <c r="B86" s="162" t="s">
        <v>515</v>
      </c>
      <c r="C86" s="1">
        <v>6</v>
      </c>
      <c r="D86" s="1" t="s">
        <v>100</v>
      </c>
      <c r="E86" s="1" t="s">
        <v>575</v>
      </c>
      <c r="F86" s="163">
        <v>813030000</v>
      </c>
      <c r="G86" s="188">
        <f t="shared" si="1"/>
        <v>81303</v>
      </c>
    </row>
    <row r="87" spans="2:7" ht="14.25" x14ac:dyDescent="0.15">
      <c r="B87" s="162" t="s">
        <v>516</v>
      </c>
      <c r="C87" s="1">
        <v>4</v>
      </c>
      <c r="D87" s="1" t="s">
        <v>72</v>
      </c>
      <c r="E87" s="1">
        <v>2</v>
      </c>
      <c r="F87" s="163">
        <v>301350000</v>
      </c>
      <c r="G87" s="188">
        <f t="shared" si="1"/>
        <v>30135</v>
      </c>
    </row>
    <row r="88" spans="2:7" ht="14.25" x14ac:dyDescent="0.15">
      <c r="B88" s="162" t="s">
        <v>517</v>
      </c>
      <c r="C88" s="1">
        <v>6</v>
      </c>
      <c r="D88" s="1" t="s">
        <v>77</v>
      </c>
      <c r="E88" s="1">
        <v>3</v>
      </c>
      <c r="F88" s="163">
        <v>5000000</v>
      </c>
      <c r="G88" s="188">
        <f t="shared" si="1"/>
        <v>500</v>
      </c>
    </row>
    <row r="89" spans="2:7" ht="14.25" x14ac:dyDescent="0.15">
      <c r="B89" s="162" t="s">
        <v>518</v>
      </c>
      <c r="C89" s="1">
        <v>5</v>
      </c>
      <c r="D89" s="1" t="s">
        <v>63</v>
      </c>
      <c r="E89" s="1">
        <v>2</v>
      </c>
      <c r="F89" s="163">
        <v>64575000.000000007</v>
      </c>
      <c r="G89" s="188">
        <f t="shared" si="1"/>
        <v>6457.5000000000009</v>
      </c>
    </row>
    <row r="90" spans="2:7" ht="14.25" x14ac:dyDescent="0.15">
      <c r="B90" s="162" t="s">
        <v>519</v>
      </c>
      <c r="C90" s="1">
        <v>6</v>
      </c>
      <c r="D90" s="1" t="s">
        <v>101</v>
      </c>
      <c r="E90" s="1">
        <v>3</v>
      </c>
      <c r="F90" s="163">
        <v>2000000</v>
      </c>
      <c r="G90" s="188">
        <f t="shared" si="1"/>
        <v>200</v>
      </c>
    </row>
    <row r="91" spans="2:7" ht="14.25" x14ac:dyDescent="0.15">
      <c r="B91" s="162" t="s">
        <v>520</v>
      </c>
      <c r="C91" s="1">
        <v>6</v>
      </c>
      <c r="D91" s="1" t="s">
        <v>65</v>
      </c>
      <c r="E91" s="1" t="s">
        <v>575</v>
      </c>
      <c r="F91" s="163">
        <v>60000000</v>
      </c>
      <c r="G91" s="188">
        <f t="shared" si="1"/>
        <v>6000</v>
      </c>
    </row>
    <row r="92" spans="2:7" ht="14.25" x14ac:dyDescent="0.15">
      <c r="B92" s="162" t="s">
        <v>521</v>
      </c>
      <c r="C92" s="1">
        <v>8</v>
      </c>
      <c r="D92" s="1" t="s">
        <v>4</v>
      </c>
      <c r="E92" s="1"/>
      <c r="F92" s="163">
        <v>61500000</v>
      </c>
      <c r="G92" s="188">
        <f t="shared" si="1"/>
        <v>6150</v>
      </c>
    </row>
    <row r="93" spans="2:7" ht="14.25" x14ac:dyDescent="0.15">
      <c r="B93" s="162" t="s">
        <v>522</v>
      </c>
      <c r="C93" s="1">
        <v>5</v>
      </c>
      <c r="D93" s="1" t="s">
        <v>102</v>
      </c>
      <c r="E93" s="1" t="s">
        <v>575</v>
      </c>
      <c r="F93" s="163">
        <v>146933000</v>
      </c>
      <c r="G93" s="188">
        <f t="shared" si="1"/>
        <v>14693.3</v>
      </c>
    </row>
    <row r="94" spans="2:7" ht="14.25" x14ac:dyDescent="0.15">
      <c r="B94" s="162" t="s">
        <v>523</v>
      </c>
      <c r="C94" s="1"/>
      <c r="D94" s="1" t="s">
        <v>65</v>
      </c>
      <c r="E94" s="1" t="s">
        <v>575</v>
      </c>
      <c r="F94" s="163">
        <v>64000000</v>
      </c>
      <c r="G94" s="188">
        <f t="shared" si="1"/>
        <v>6400</v>
      </c>
    </row>
    <row r="95" spans="2:7" ht="14.25" x14ac:dyDescent="0.15">
      <c r="B95" s="162" t="s">
        <v>524</v>
      </c>
      <c r="C95" s="1">
        <v>7</v>
      </c>
      <c r="D95" s="1" t="s">
        <v>69</v>
      </c>
      <c r="E95" s="1">
        <v>3</v>
      </c>
      <c r="F95" s="163">
        <v>273675000</v>
      </c>
      <c r="G95" s="188">
        <f t="shared" si="1"/>
        <v>27367.5</v>
      </c>
    </row>
    <row r="96" spans="2:7" ht="14.25" x14ac:dyDescent="0.15">
      <c r="B96" s="162" t="s">
        <v>525</v>
      </c>
      <c r="C96" s="1">
        <v>9</v>
      </c>
      <c r="D96" s="1" t="s">
        <v>103</v>
      </c>
      <c r="E96" s="1">
        <v>3</v>
      </c>
      <c r="F96" s="163">
        <v>3000000</v>
      </c>
      <c r="G96" s="188">
        <f t="shared" si="1"/>
        <v>300</v>
      </c>
    </row>
    <row r="97" spans="2:7" ht="14.25" x14ac:dyDescent="0.15">
      <c r="B97" s="162" t="s">
        <v>526</v>
      </c>
      <c r="C97" s="1">
        <v>1</v>
      </c>
      <c r="D97" s="1" t="s">
        <v>75</v>
      </c>
      <c r="E97" s="1">
        <v>2</v>
      </c>
      <c r="F97" s="163">
        <v>6000000</v>
      </c>
      <c r="G97" s="188">
        <f t="shared" si="1"/>
        <v>600</v>
      </c>
    </row>
    <row r="98" spans="2:7" ht="14.25" x14ac:dyDescent="0.15">
      <c r="B98" s="162" t="s">
        <v>527</v>
      </c>
      <c r="C98" s="1">
        <v>7</v>
      </c>
      <c r="D98" s="1" t="s">
        <v>82</v>
      </c>
      <c r="E98" s="1">
        <v>3</v>
      </c>
      <c r="F98" s="163">
        <v>61500000</v>
      </c>
      <c r="G98" s="188">
        <f t="shared" si="1"/>
        <v>6150</v>
      </c>
    </row>
    <row r="99" spans="2:7" ht="14.25" x14ac:dyDescent="0.15">
      <c r="B99" s="162" t="s">
        <v>528</v>
      </c>
      <c r="C99" s="1">
        <v>6</v>
      </c>
      <c r="D99" s="1" t="s">
        <v>70</v>
      </c>
      <c r="E99" s="1">
        <v>3</v>
      </c>
      <c r="F99" s="163">
        <v>12300000</v>
      </c>
      <c r="G99" s="188">
        <f t="shared" si="1"/>
        <v>1230</v>
      </c>
    </row>
    <row r="100" spans="2:7" ht="14.25" x14ac:dyDescent="0.15">
      <c r="B100" s="162" t="s">
        <v>529</v>
      </c>
      <c r="C100" s="1">
        <v>6</v>
      </c>
      <c r="D100" s="1" t="s">
        <v>104</v>
      </c>
      <c r="E100" s="1" t="s">
        <v>576</v>
      </c>
      <c r="F100" s="163">
        <v>79000684</v>
      </c>
      <c r="G100" s="188">
        <f t="shared" si="1"/>
        <v>7900.0684000000001</v>
      </c>
    </row>
    <row r="101" spans="2:7" ht="14.25" x14ac:dyDescent="0.15">
      <c r="B101" s="162" t="s">
        <v>530</v>
      </c>
      <c r="C101" s="1">
        <v>5</v>
      </c>
      <c r="D101" s="1" t="s">
        <v>105</v>
      </c>
      <c r="E101" s="1">
        <v>2</v>
      </c>
      <c r="F101" s="163">
        <v>5000000</v>
      </c>
      <c r="G101" s="188">
        <f t="shared" si="1"/>
        <v>500</v>
      </c>
    </row>
    <row r="102" spans="2:7" ht="14.25" x14ac:dyDescent="0.15">
      <c r="B102" s="162" t="s">
        <v>531</v>
      </c>
      <c r="C102" s="1">
        <v>6</v>
      </c>
      <c r="D102" s="1" t="s">
        <v>67</v>
      </c>
      <c r="E102" s="1">
        <v>3</v>
      </c>
      <c r="F102" s="163">
        <v>5000000</v>
      </c>
      <c r="G102" s="188">
        <f t="shared" si="1"/>
        <v>500</v>
      </c>
    </row>
    <row r="103" spans="2:7" ht="14.25" x14ac:dyDescent="0.15">
      <c r="B103" s="162" t="s">
        <v>532</v>
      </c>
      <c r="C103" s="1">
        <v>4</v>
      </c>
      <c r="D103" s="1" t="s">
        <v>63</v>
      </c>
      <c r="E103" s="1">
        <v>2</v>
      </c>
      <c r="F103" s="163">
        <v>15200000</v>
      </c>
      <c r="G103" s="188">
        <f t="shared" si="1"/>
        <v>1520</v>
      </c>
    </row>
    <row r="104" spans="2:7" ht="14.25" x14ac:dyDescent="0.15">
      <c r="B104" s="162" t="s">
        <v>533</v>
      </c>
      <c r="C104" s="1">
        <v>4</v>
      </c>
      <c r="D104" s="1" t="s">
        <v>74</v>
      </c>
      <c r="E104" s="1">
        <v>2</v>
      </c>
      <c r="F104" s="163">
        <v>5049358000</v>
      </c>
      <c r="G104" s="188">
        <f t="shared" si="1"/>
        <v>504935.8</v>
      </c>
    </row>
    <row r="105" spans="2:7" ht="14.25" x14ac:dyDescent="0.15">
      <c r="B105" s="162" t="s">
        <v>534</v>
      </c>
      <c r="C105" s="1"/>
      <c r="D105" s="1" t="s">
        <v>97</v>
      </c>
      <c r="E105" s="1" t="s">
        <v>575</v>
      </c>
      <c r="F105" s="163">
        <v>10000000</v>
      </c>
      <c r="G105" s="188">
        <f t="shared" si="1"/>
        <v>1000</v>
      </c>
    </row>
    <row r="106" spans="2:7" ht="14.25" x14ac:dyDescent="0.15">
      <c r="B106" s="162" t="s">
        <v>535</v>
      </c>
      <c r="C106" s="1">
        <v>6</v>
      </c>
      <c r="D106" s="1" t="s">
        <v>67</v>
      </c>
      <c r="E106" s="1">
        <v>3</v>
      </c>
      <c r="F106" s="163">
        <v>24280000</v>
      </c>
      <c r="G106" s="188">
        <f t="shared" si="1"/>
        <v>2428</v>
      </c>
    </row>
    <row r="107" spans="2:7" ht="14.25" x14ac:dyDescent="0.15">
      <c r="B107" s="162" t="s">
        <v>536</v>
      </c>
      <c r="C107" s="1">
        <v>7</v>
      </c>
      <c r="D107" s="1" t="s">
        <v>90</v>
      </c>
      <c r="E107" s="1">
        <v>3</v>
      </c>
      <c r="F107" s="163">
        <v>5000000</v>
      </c>
      <c r="G107" s="188">
        <f t="shared" si="1"/>
        <v>500</v>
      </c>
    </row>
    <row r="108" spans="2:7" ht="14.25" x14ac:dyDescent="0.15">
      <c r="B108" s="162" t="s">
        <v>537</v>
      </c>
      <c r="C108" s="1">
        <v>2</v>
      </c>
      <c r="D108" s="1" t="s">
        <v>83</v>
      </c>
      <c r="E108" s="1">
        <v>1</v>
      </c>
      <c r="F108" s="163">
        <v>20602500</v>
      </c>
      <c r="G108" s="188">
        <f t="shared" si="1"/>
        <v>2060.25</v>
      </c>
    </row>
    <row r="109" spans="2:7" ht="14.25" x14ac:dyDescent="0.15">
      <c r="B109" s="162" t="s">
        <v>538</v>
      </c>
      <c r="C109" s="1">
        <v>6</v>
      </c>
      <c r="D109" s="1" t="s">
        <v>70</v>
      </c>
      <c r="E109" s="1">
        <v>3</v>
      </c>
      <c r="F109" s="163">
        <v>55350000</v>
      </c>
      <c r="G109" s="188">
        <f t="shared" si="1"/>
        <v>5535</v>
      </c>
    </row>
    <row r="110" spans="2:7" ht="14.25" x14ac:dyDescent="0.15">
      <c r="B110" s="162" t="s">
        <v>539</v>
      </c>
      <c r="C110" s="1">
        <v>3</v>
      </c>
      <c r="D110" s="1" t="s">
        <v>74</v>
      </c>
      <c r="E110" s="1">
        <v>2</v>
      </c>
      <c r="F110" s="163">
        <v>383810000</v>
      </c>
      <c r="G110" s="188">
        <f t="shared" si="1"/>
        <v>38381</v>
      </c>
    </row>
    <row r="111" spans="2:7" ht="14.25" x14ac:dyDescent="0.15">
      <c r="B111" s="162" t="s">
        <v>540</v>
      </c>
      <c r="C111" s="1">
        <v>8</v>
      </c>
      <c r="D111" s="1" t="s">
        <v>102</v>
      </c>
      <c r="E111" s="1" t="s">
        <v>575</v>
      </c>
      <c r="F111" s="163">
        <v>216000000</v>
      </c>
      <c r="G111" s="188">
        <f t="shared" si="1"/>
        <v>21600</v>
      </c>
    </row>
    <row r="112" spans="2:7" ht="14.25" x14ac:dyDescent="0.15">
      <c r="B112" s="162" t="s">
        <v>541</v>
      </c>
      <c r="C112" s="1">
        <v>5</v>
      </c>
      <c r="D112" s="1" t="s">
        <v>65</v>
      </c>
      <c r="E112" s="1" t="s">
        <v>575</v>
      </c>
      <c r="F112" s="163">
        <v>61500000</v>
      </c>
      <c r="G112" s="188">
        <f t="shared" si="1"/>
        <v>6150</v>
      </c>
    </row>
    <row r="113" spans="2:7" ht="14.25" x14ac:dyDescent="0.15">
      <c r="B113" s="162" t="s">
        <v>542</v>
      </c>
      <c r="C113" s="1">
        <v>4</v>
      </c>
      <c r="D113" s="1" t="s">
        <v>97</v>
      </c>
      <c r="E113" s="1" t="s">
        <v>575</v>
      </c>
      <c r="F113" s="163">
        <v>5000000</v>
      </c>
      <c r="G113" s="188">
        <f t="shared" si="1"/>
        <v>500</v>
      </c>
    </row>
    <row r="114" spans="2:7" ht="14.25" x14ac:dyDescent="0.15">
      <c r="B114" s="162" t="s">
        <v>543</v>
      </c>
      <c r="C114" s="1">
        <v>7</v>
      </c>
      <c r="D114" s="1" t="s">
        <v>67</v>
      </c>
      <c r="E114" s="1">
        <v>3</v>
      </c>
      <c r="F114" s="163">
        <v>50000000</v>
      </c>
      <c r="G114" s="188">
        <f t="shared" si="1"/>
        <v>5000</v>
      </c>
    </row>
    <row r="115" spans="2:7" ht="14.25" x14ac:dyDescent="0.15">
      <c r="B115" s="162" t="s">
        <v>544</v>
      </c>
      <c r="C115" s="1">
        <v>8</v>
      </c>
      <c r="D115" s="1" t="s">
        <v>100</v>
      </c>
      <c r="E115" s="1" t="s">
        <v>575</v>
      </c>
      <c r="F115" s="163">
        <v>138091677827</v>
      </c>
      <c r="G115" s="188">
        <f t="shared" si="1"/>
        <v>13809167.7827</v>
      </c>
    </row>
    <row r="116" spans="2:7" ht="14.25" x14ac:dyDescent="0.15">
      <c r="B116" s="162" t="s">
        <v>545</v>
      </c>
      <c r="C116" s="1">
        <v>4</v>
      </c>
      <c r="D116" s="1" t="s">
        <v>102</v>
      </c>
      <c r="E116" s="1" t="s">
        <v>575</v>
      </c>
      <c r="F116" s="163">
        <v>120000000</v>
      </c>
      <c r="G116" s="188">
        <f t="shared" si="1"/>
        <v>12000</v>
      </c>
    </row>
    <row r="117" spans="2:7" ht="14.25" x14ac:dyDescent="0.15">
      <c r="B117" s="162" t="s">
        <v>546</v>
      </c>
      <c r="C117" s="1"/>
      <c r="D117" s="1" t="s">
        <v>106</v>
      </c>
      <c r="E117" s="1" t="s">
        <v>575</v>
      </c>
      <c r="F117" s="163">
        <v>100000000</v>
      </c>
      <c r="G117" s="188">
        <f t="shared" si="1"/>
        <v>10000</v>
      </c>
    </row>
    <row r="118" spans="2:7" ht="14.25" x14ac:dyDescent="0.15">
      <c r="B118" s="162" t="s">
        <v>547</v>
      </c>
      <c r="C118" s="1">
        <v>8</v>
      </c>
      <c r="D118" s="1" t="s">
        <v>107</v>
      </c>
      <c r="E118" s="1">
        <v>3</v>
      </c>
      <c r="F118" s="163">
        <v>990000</v>
      </c>
      <c r="G118" s="188">
        <f t="shared" si="1"/>
        <v>99</v>
      </c>
    </row>
    <row r="119" spans="2:7" ht="14.25" x14ac:dyDescent="0.15">
      <c r="B119" s="162" t="s">
        <v>548</v>
      </c>
      <c r="C119" s="1"/>
      <c r="D119" s="1" t="s">
        <v>73</v>
      </c>
      <c r="E119" s="1" t="s">
        <v>575</v>
      </c>
      <c r="F119" s="163">
        <v>5000000</v>
      </c>
      <c r="G119" s="188">
        <f t="shared" si="1"/>
        <v>500</v>
      </c>
    </row>
    <row r="120" spans="2:7" ht="14.25" x14ac:dyDescent="0.15">
      <c r="B120" s="162" t="s">
        <v>549</v>
      </c>
      <c r="C120" s="1">
        <v>10</v>
      </c>
      <c r="D120" s="1" t="s">
        <v>65</v>
      </c>
      <c r="E120" s="1" t="s">
        <v>575</v>
      </c>
      <c r="F120" s="163">
        <v>40000000</v>
      </c>
      <c r="G120" s="188">
        <f t="shared" si="1"/>
        <v>4000</v>
      </c>
    </row>
    <row r="121" spans="2:7" ht="14.25" x14ac:dyDescent="0.15">
      <c r="B121" s="162" t="s">
        <v>550</v>
      </c>
      <c r="C121" s="1">
        <v>5</v>
      </c>
      <c r="D121" s="1" t="s">
        <v>85</v>
      </c>
      <c r="E121" s="1">
        <v>2</v>
      </c>
      <c r="F121" s="163">
        <v>10000000000</v>
      </c>
      <c r="G121" s="188">
        <f t="shared" si="1"/>
        <v>1000000</v>
      </c>
    </row>
    <row r="122" spans="2:7" ht="14.25" x14ac:dyDescent="0.15">
      <c r="B122" s="162" t="s">
        <v>551</v>
      </c>
      <c r="C122" s="1">
        <v>8</v>
      </c>
      <c r="D122" s="1" t="s">
        <v>84</v>
      </c>
      <c r="E122" s="1" t="s">
        <v>575</v>
      </c>
      <c r="F122" s="163">
        <v>3000000</v>
      </c>
      <c r="G122" s="188">
        <f t="shared" si="1"/>
        <v>300</v>
      </c>
    </row>
    <row r="123" spans="2:7" ht="14.25" x14ac:dyDescent="0.15">
      <c r="B123" s="162" t="s">
        <v>552</v>
      </c>
      <c r="C123" s="1">
        <v>5</v>
      </c>
      <c r="D123" s="1" t="s">
        <v>66</v>
      </c>
      <c r="E123" s="1" t="s">
        <v>575</v>
      </c>
      <c r="F123" s="163">
        <v>500000</v>
      </c>
      <c r="G123" s="188">
        <f t="shared" si="1"/>
        <v>50</v>
      </c>
    </row>
    <row r="124" spans="2:7" ht="14.25" x14ac:dyDescent="0.15">
      <c r="B124" s="162" t="s">
        <v>553</v>
      </c>
      <c r="C124" s="1">
        <v>5</v>
      </c>
      <c r="D124" s="1" t="s">
        <v>63</v>
      </c>
      <c r="E124" s="1">
        <v>2</v>
      </c>
      <c r="F124" s="163">
        <v>461250000</v>
      </c>
      <c r="G124" s="188">
        <f t="shared" si="1"/>
        <v>46125</v>
      </c>
    </row>
    <row r="125" spans="2:7" ht="14.25" x14ac:dyDescent="0.15">
      <c r="B125" s="162" t="s">
        <v>554</v>
      </c>
      <c r="C125" s="1">
        <v>7</v>
      </c>
      <c r="D125" s="1" t="s">
        <v>76</v>
      </c>
      <c r="E125" s="1">
        <v>3</v>
      </c>
      <c r="F125" s="163">
        <v>500000</v>
      </c>
      <c r="G125" s="188">
        <f t="shared" si="1"/>
        <v>50</v>
      </c>
    </row>
    <row r="126" spans="2:7" ht="14.25" x14ac:dyDescent="0.15">
      <c r="B126" s="162" t="s">
        <v>555</v>
      </c>
      <c r="C126" s="1">
        <v>5</v>
      </c>
      <c r="D126" s="1" t="s">
        <v>95</v>
      </c>
      <c r="E126" s="1">
        <v>2</v>
      </c>
      <c r="F126" s="163">
        <v>5000000</v>
      </c>
      <c r="G126" s="188">
        <f t="shared" si="1"/>
        <v>500</v>
      </c>
    </row>
    <row r="127" spans="2:7" ht="14.25" x14ac:dyDescent="0.15">
      <c r="B127" s="162" t="s">
        <v>556</v>
      </c>
      <c r="C127" s="1">
        <v>6</v>
      </c>
      <c r="D127" s="1" t="s">
        <v>70</v>
      </c>
      <c r="E127" s="1">
        <v>3</v>
      </c>
      <c r="F127" s="163">
        <v>16359000.000000002</v>
      </c>
      <c r="G127" s="188">
        <f t="shared" si="1"/>
        <v>1635.9</v>
      </c>
    </row>
    <row r="128" spans="2:7" ht="14.25" x14ac:dyDescent="0.15">
      <c r="B128" s="162" t="s">
        <v>557</v>
      </c>
      <c r="C128" s="1">
        <v>1</v>
      </c>
      <c r="D128" s="1" t="s">
        <v>108</v>
      </c>
      <c r="E128" s="1">
        <v>1</v>
      </c>
      <c r="F128" s="163">
        <v>61500000</v>
      </c>
      <c r="G128" s="188">
        <f t="shared" si="1"/>
        <v>6150</v>
      </c>
    </row>
  </sheetData>
  <phoneticPr fontId="5" type="noConversion"/>
  <dataValidations count="1">
    <dataValidation allowBlank="1" showInputMessage="1" sqref="H1:H104857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al_Risk_Score">
                <anchor moveWithCells="1">
                  <from>
                    <xdr:col>7</xdr:col>
                    <xdr:colOff>123825</xdr:colOff>
                    <xdr:row>0</xdr:row>
                    <xdr:rowOff>133350</xdr:rowOff>
                  </from>
                  <to>
                    <xdr:col>7</xdr:col>
                    <xdr:colOff>1390650</xdr:colOff>
                    <xdr:row>0</xdr:row>
                    <xdr:rowOff>504825</xdr:rowOff>
                  </to>
                </anchor>
              </controlPr>
            </control>
          </mc:Choice>
        </mc:AlternateContent>
        <mc:AlternateContent xmlns:mc="http://schemas.openxmlformats.org/markup-compatibility/2006">
          <mc:Choice Requires="x14">
            <control shapeId="7286" r:id="rId4" name="Button 118">
              <controlPr defaultSize="0" print="0" autoFill="0" autoPict="0" macro="[0]!Load_Leasing_Data">
                <anchor moveWithCells="1">
                  <from>
                    <xdr:col>6</xdr:col>
                    <xdr:colOff>76200</xdr:colOff>
                    <xdr:row>0</xdr:row>
                    <xdr:rowOff>123825</xdr:rowOff>
                  </from>
                  <to>
                    <xdr:col>6</xdr:col>
                    <xdr:colOff>1343025</xdr:colOff>
                    <xdr:row>0</xdr:row>
                    <xdr:rowOff>504825</xdr:rowOff>
                  </to>
                </anchor>
              </controlPr>
            </control>
          </mc:Choice>
        </mc:AlternateContent>
        <mc:AlternateContent xmlns:mc="http://schemas.openxmlformats.org/markup-compatibility/2006">
          <mc:Choice Requires="x14">
            <control shapeId="7287" r:id="rId5" name="Button 119">
              <controlPr defaultSize="0" print="0" autoFill="0" autoPict="0" macro="[0]!Load_D_B_Data">
                <anchor moveWithCells="1">
                  <from>
                    <xdr:col>5</xdr:col>
                    <xdr:colOff>47625</xdr:colOff>
                    <xdr:row>0</xdr:row>
                    <xdr:rowOff>133350</xdr:rowOff>
                  </from>
                  <to>
                    <xdr:col>5</xdr:col>
                    <xdr:colOff>1314450</xdr:colOff>
                    <xdr:row>0</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Criteria!$C$4:$C$9</xm:f>
          </x14:formula1>
          <xm:sqref>I3:I1048576</xm:sqref>
        </x14:dataValidation>
        <x14:dataValidation type="list" allowBlank="1" showInputMessage="1" showErrorMessage="1">
          <x14:formula1>
            <xm:f>Criteria!$C$46:$C$48</xm:f>
          </x14:formula1>
          <xm:sqref>J3:J1048576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P95"/>
  <sheetViews>
    <sheetView view="pageBreakPreview" zoomScaleNormal="70" zoomScaleSheetLayoutView="100" workbookViewId="0">
      <selection activeCell="B39" sqref="B39:C39"/>
    </sheetView>
  </sheetViews>
  <sheetFormatPr defaultRowHeight="15" x14ac:dyDescent="0.15"/>
  <cols>
    <col min="1" max="1" width="34.75" style="64" bestFit="1" customWidth="1"/>
    <col min="2" max="2" width="35.75" style="64" customWidth="1"/>
    <col min="3" max="4" width="35.75" style="63" customWidth="1"/>
    <col min="5" max="5" width="40.75" style="63" bestFit="1" customWidth="1"/>
    <col min="6" max="6" width="35.75" style="65" customWidth="1"/>
    <col min="7" max="8" width="35.75" style="63" customWidth="1"/>
    <col min="9" max="9" width="45.75" style="64" bestFit="1" customWidth="1"/>
    <col min="10" max="10" width="35.75" style="63" customWidth="1"/>
    <col min="11" max="16384" width="9" style="62"/>
  </cols>
  <sheetData>
    <row r="1" spans="1:11" ht="18" x14ac:dyDescent="0.15">
      <c r="A1" s="270" t="s">
        <v>266</v>
      </c>
      <c r="B1" s="270"/>
      <c r="I1" s="62"/>
    </row>
    <row r="2" spans="1:11" ht="28.5" customHeight="1" thickBot="1" x14ac:dyDescent="0.2">
      <c r="A2" s="124"/>
      <c r="B2" s="124"/>
      <c r="C2" s="124"/>
      <c r="D2" s="124"/>
      <c r="E2" s="124"/>
      <c r="F2" s="125"/>
      <c r="G2" s="124"/>
      <c r="H2" s="124"/>
      <c r="I2" s="124"/>
      <c r="J2" s="124"/>
    </row>
    <row r="3" spans="1:11" ht="21.6" customHeight="1" thickBot="1" x14ac:dyDescent="0.2">
      <c r="A3" s="123" t="s">
        <v>265</v>
      </c>
      <c r="B3" s="271" t="s">
        <v>264</v>
      </c>
      <c r="C3" s="272"/>
      <c r="D3" s="121"/>
      <c r="E3" s="121"/>
      <c r="F3" s="122"/>
      <c r="G3" s="121"/>
      <c r="H3" s="121"/>
      <c r="I3" s="271" t="s">
        <v>263</v>
      </c>
      <c r="J3" s="272"/>
    </row>
    <row r="4" spans="1:11" ht="15.75" customHeight="1" x14ac:dyDescent="0.15">
      <c r="A4" s="273" t="s">
        <v>262</v>
      </c>
      <c r="B4" s="276" t="s">
        <v>227</v>
      </c>
      <c r="C4" s="277"/>
      <c r="D4" s="119"/>
      <c r="E4" s="119"/>
      <c r="F4" s="120"/>
      <c r="G4" s="119"/>
      <c r="H4" s="119"/>
      <c r="I4" s="118" t="s">
        <v>261</v>
      </c>
      <c r="J4" s="117" t="s">
        <v>260</v>
      </c>
      <c r="K4" s="116" t="s">
        <v>259</v>
      </c>
    </row>
    <row r="5" spans="1:11" s="94" customFormat="1" x14ac:dyDescent="0.15">
      <c r="A5" s="274"/>
      <c r="B5" s="278" t="s">
        <v>258</v>
      </c>
      <c r="C5" s="279"/>
      <c r="D5" s="71"/>
      <c r="E5" s="71"/>
      <c r="F5" s="87"/>
      <c r="G5" s="71"/>
      <c r="H5" s="71"/>
      <c r="I5" s="115" t="s">
        <v>257</v>
      </c>
      <c r="J5" s="114" t="s">
        <v>256</v>
      </c>
    </row>
    <row r="6" spans="1:11" s="94" customFormat="1" x14ac:dyDescent="0.15">
      <c r="A6" s="274"/>
      <c r="B6" s="278"/>
      <c r="C6" s="279"/>
      <c r="D6" s="71"/>
      <c r="E6" s="71"/>
      <c r="F6" s="87"/>
      <c r="G6" s="71"/>
      <c r="H6" s="71"/>
      <c r="I6" s="115" t="s">
        <v>255</v>
      </c>
      <c r="J6" s="114" t="s">
        <v>254</v>
      </c>
    </row>
    <row r="7" spans="1:11" s="94" customFormat="1" ht="45.75" thickBot="1" x14ac:dyDescent="0.2">
      <c r="A7" s="274"/>
      <c r="B7" s="109"/>
      <c r="C7" s="92"/>
      <c r="D7" s="71"/>
      <c r="E7" s="71"/>
      <c r="F7" s="87"/>
      <c r="G7" s="71"/>
      <c r="H7" s="71"/>
      <c r="I7" s="113" t="s">
        <v>253</v>
      </c>
      <c r="J7" s="112" t="s">
        <v>252</v>
      </c>
    </row>
    <row r="8" spans="1:11" s="94" customFormat="1" ht="60" x14ac:dyDescent="0.15">
      <c r="A8" s="274"/>
      <c r="B8" s="109"/>
      <c r="C8" s="92"/>
      <c r="D8" s="71"/>
      <c r="E8" s="71"/>
      <c r="F8" s="87"/>
      <c r="G8" s="71"/>
      <c r="H8" s="71"/>
      <c r="I8" s="111" t="s">
        <v>251</v>
      </c>
      <c r="J8" s="92" t="s">
        <v>250</v>
      </c>
    </row>
    <row r="9" spans="1:11" s="94" customFormat="1" ht="30" x14ac:dyDescent="0.15">
      <c r="A9" s="274"/>
      <c r="B9" s="109"/>
      <c r="C9" s="92"/>
      <c r="D9" s="71"/>
      <c r="E9" s="71"/>
      <c r="F9" s="87"/>
      <c r="G9" s="71"/>
      <c r="H9" s="71"/>
      <c r="I9" s="108" t="s">
        <v>249</v>
      </c>
      <c r="J9" s="92" t="s">
        <v>248</v>
      </c>
    </row>
    <row r="10" spans="1:11" s="94" customFormat="1" ht="30" x14ac:dyDescent="0.15">
      <c r="A10" s="274"/>
      <c r="B10" s="109"/>
      <c r="C10" s="92"/>
      <c r="D10" s="71"/>
      <c r="E10" s="71"/>
      <c r="F10" s="87"/>
      <c r="G10" s="71"/>
      <c r="H10" s="71"/>
      <c r="I10" s="108" t="s">
        <v>247</v>
      </c>
      <c r="J10" s="92" t="s">
        <v>246</v>
      </c>
    </row>
    <row r="11" spans="1:11" s="94" customFormat="1" ht="45" x14ac:dyDescent="0.15">
      <c r="A11" s="274"/>
      <c r="B11" s="109"/>
      <c r="C11" s="92"/>
      <c r="D11" s="71"/>
      <c r="E11" s="71"/>
      <c r="F11" s="87"/>
      <c r="G11" s="71"/>
      <c r="H11" s="71"/>
      <c r="I11" s="110" t="s">
        <v>245</v>
      </c>
      <c r="J11" s="71" t="s">
        <v>244</v>
      </c>
    </row>
    <row r="12" spans="1:11" s="94" customFormat="1" ht="30" x14ac:dyDescent="0.15">
      <c r="A12" s="274"/>
      <c r="B12" s="109"/>
      <c r="C12" s="92"/>
      <c r="D12" s="71"/>
      <c r="E12" s="71"/>
      <c r="F12" s="87"/>
      <c r="G12" s="71"/>
      <c r="H12" s="71"/>
      <c r="I12" s="108" t="s">
        <v>243</v>
      </c>
      <c r="J12" s="71" t="s">
        <v>242</v>
      </c>
    </row>
    <row r="13" spans="1:11" s="94" customFormat="1" ht="30" x14ac:dyDescent="0.15">
      <c r="A13" s="274"/>
      <c r="B13" s="109"/>
      <c r="C13" s="92"/>
      <c r="D13" s="71"/>
      <c r="E13" s="71"/>
      <c r="F13" s="87"/>
      <c r="G13" s="71"/>
      <c r="H13" s="71"/>
      <c r="I13" s="108" t="s">
        <v>241</v>
      </c>
      <c r="J13" s="71" t="s">
        <v>240</v>
      </c>
    </row>
    <row r="14" spans="1:11" s="94" customFormat="1" x14ac:dyDescent="0.15">
      <c r="A14" s="274"/>
      <c r="B14" s="109"/>
      <c r="C14" s="92"/>
      <c r="D14" s="71"/>
      <c r="E14" s="71"/>
      <c r="F14" s="87"/>
      <c r="G14" s="71"/>
      <c r="H14" s="71"/>
      <c r="I14" s="108" t="s">
        <v>239</v>
      </c>
      <c r="J14" s="71"/>
    </row>
    <row r="15" spans="1:11" s="94" customFormat="1" x14ac:dyDescent="0.15">
      <c r="A15" s="274"/>
      <c r="B15" s="109"/>
      <c r="C15" s="92"/>
      <c r="D15" s="71"/>
      <c r="E15" s="71"/>
      <c r="F15" s="87"/>
      <c r="G15" s="71"/>
      <c r="H15" s="71"/>
      <c r="I15" s="108" t="s">
        <v>238</v>
      </c>
      <c r="J15" s="71"/>
    </row>
    <row r="16" spans="1:11" s="94" customFormat="1" x14ac:dyDescent="0.15">
      <c r="A16" s="274"/>
      <c r="B16" s="109"/>
      <c r="C16" s="92"/>
      <c r="D16" s="71"/>
      <c r="E16" s="71"/>
      <c r="F16" s="87"/>
      <c r="G16" s="71"/>
      <c r="H16" s="71"/>
      <c r="I16" s="108" t="s">
        <v>237</v>
      </c>
      <c r="J16" s="71"/>
    </row>
    <row r="17" spans="1:16" s="94" customFormat="1" x14ac:dyDescent="0.15">
      <c r="A17" s="274"/>
      <c r="B17" s="109"/>
      <c r="C17" s="92"/>
      <c r="D17" s="71"/>
      <c r="E17" s="71"/>
      <c r="F17" s="87"/>
      <c r="G17" s="71"/>
      <c r="H17" s="71"/>
      <c r="I17" s="108" t="s">
        <v>236</v>
      </c>
      <c r="J17" s="71"/>
    </row>
    <row r="18" spans="1:16" s="94" customFormat="1" x14ac:dyDescent="0.15">
      <c r="A18" s="274"/>
      <c r="B18" s="109"/>
      <c r="C18" s="92"/>
      <c r="D18" s="71"/>
      <c r="E18" s="71"/>
      <c r="F18" s="87"/>
      <c r="G18" s="71"/>
      <c r="H18" s="71"/>
      <c r="I18" s="108" t="s">
        <v>235</v>
      </c>
      <c r="J18" s="71"/>
    </row>
    <row r="19" spans="1:16" s="94" customFormat="1" x14ac:dyDescent="0.15">
      <c r="A19" s="274"/>
      <c r="B19" s="109"/>
      <c r="C19" s="92"/>
      <c r="D19" s="71"/>
      <c r="E19" s="71"/>
      <c r="F19" s="87"/>
      <c r="G19" s="71"/>
      <c r="H19" s="71"/>
      <c r="I19" s="108" t="s">
        <v>234</v>
      </c>
      <c r="J19" s="71"/>
    </row>
    <row r="20" spans="1:16" s="94" customFormat="1" x14ac:dyDescent="0.15">
      <c r="A20" s="274"/>
      <c r="B20" s="109"/>
      <c r="C20" s="92"/>
      <c r="D20" s="71"/>
      <c r="E20" s="71"/>
      <c r="F20" s="87"/>
      <c r="G20" s="71"/>
      <c r="H20" s="71"/>
      <c r="I20" s="108" t="s">
        <v>233</v>
      </c>
      <c r="J20" s="71"/>
    </row>
    <row r="21" spans="1:16" s="94" customFormat="1" ht="30" x14ac:dyDescent="0.15">
      <c r="A21" s="274"/>
      <c r="B21" s="109"/>
      <c r="C21" s="92"/>
      <c r="D21" s="71"/>
      <c r="E21" s="71"/>
      <c r="F21" s="87"/>
      <c r="G21" s="71"/>
      <c r="H21" s="71"/>
      <c r="I21" s="108" t="s">
        <v>232</v>
      </c>
      <c r="J21" s="71"/>
    </row>
    <row r="22" spans="1:16" s="94" customFormat="1" x14ac:dyDescent="0.15">
      <c r="A22" s="274"/>
      <c r="B22" s="109"/>
      <c r="C22" s="92"/>
      <c r="D22" s="71"/>
      <c r="E22" s="71"/>
      <c r="F22" s="87"/>
      <c r="G22" s="71"/>
      <c r="H22" s="71"/>
      <c r="I22" s="108" t="s">
        <v>231</v>
      </c>
      <c r="J22" s="71"/>
    </row>
    <row r="23" spans="1:16" s="94" customFormat="1" x14ac:dyDescent="0.15">
      <c r="A23" s="274"/>
      <c r="B23" s="109"/>
      <c r="C23" s="92"/>
      <c r="D23" s="71"/>
      <c r="E23" s="71"/>
      <c r="F23" s="87"/>
      <c r="G23" s="71"/>
      <c r="H23" s="71"/>
      <c r="I23" s="108" t="s">
        <v>230</v>
      </c>
      <c r="J23" s="71"/>
    </row>
    <row r="24" spans="1:16" s="94" customFormat="1" x14ac:dyDescent="0.15">
      <c r="A24" s="274"/>
      <c r="B24" s="109"/>
      <c r="C24" s="92"/>
      <c r="D24" s="71"/>
      <c r="E24" s="71"/>
      <c r="F24" s="87"/>
      <c r="G24" s="71"/>
      <c r="H24" s="71"/>
      <c r="I24" s="110"/>
      <c r="J24" s="71"/>
    </row>
    <row r="25" spans="1:16" s="94" customFormat="1" x14ac:dyDescent="0.15">
      <c r="A25" s="274"/>
      <c r="B25" s="109"/>
      <c r="C25" s="92"/>
      <c r="D25" s="71"/>
      <c r="E25" s="71"/>
      <c r="F25" s="87"/>
      <c r="G25" s="71"/>
      <c r="H25" s="71"/>
      <c r="I25" s="108"/>
      <c r="J25" s="71"/>
    </row>
    <row r="26" spans="1:16" s="94" customFormat="1" ht="15.75" customHeight="1" thickBot="1" x14ac:dyDescent="0.2">
      <c r="A26" s="275"/>
      <c r="B26" s="280"/>
      <c r="C26" s="281"/>
      <c r="D26" s="71"/>
      <c r="E26" s="71"/>
      <c r="F26" s="87"/>
      <c r="G26" s="71"/>
      <c r="H26" s="71"/>
      <c r="I26" s="108"/>
      <c r="L26" s="94" t="s">
        <v>229</v>
      </c>
    </row>
    <row r="27" spans="1:16" s="94" customFormat="1" ht="15" customHeight="1" x14ac:dyDescent="0.15">
      <c r="A27" s="282" t="s">
        <v>228</v>
      </c>
      <c r="B27" s="276" t="s">
        <v>227</v>
      </c>
      <c r="C27" s="277"/>
      <c r="D27" s="96"/>
      <c r="E27" s="96" t="s">
        <v>226</v>
      </c>
      <c r="F27" s="102" t="s">
        <v>225</v>
      </c>
      <c r="G27" s="96"/>
      <c r="H27" s="96"/>
      <c r="I27" s="71" t="s">
        <v>224</v>
      </c>
      <c r="J27" s="100"/>
      <c r="K27" s="101" t="s">
        <v>223</v>
      </c>
    </row>
    <row r="28" spans="1:16" s="94" customFormat="1" ht="30" x14ac:dyDescent="0.15">
      <c r="A28" s="283"/>
      <c r="B28" s="284" t="s">
        <v>222</v>
      </c>
      <c r="C28" s="279"/>
      <c r="D28" s="71"/>
      <c r="E28" s="107">
        <v>5</v>
      </c>
      <c r="F28" s="105">
        <f>LOOKUP(E28,G28:G34,I28:I34)</f>
        <v>4</v>
      </c>
      <c r="G28" s="105">
        <v>1</v>
      </c>
      <c r="H28" s="71" t="s">
        <v>221</v>
      </c>
      <c r="I28" s="106">
        <v>10</v>
      </c>
      <c r="J28" s="92"/>
    </row>
    <row r="29" spans="1:16" s="94" customFormat="1" ht="30" x14ac:dyDescent="0.15">
      <c r="A29" s="283"/>
      <c r="B29" s="284" t="s">
        <v>220</v>
      </c>
      <c r="C29" s="279"/>
      <c r="D29" s="71"/>
      <c r="E29" s="71"/>
      <c r="F29" s="105"/>
      <c r="G29" s="105">
        <v>2</v>
      </c>
      <c r="H29" s="71" t="s">
        <v>219</v>
      </c>
      <c r="I29" s="94">
        <v>8</v>
      </c>
      <c r="J29" s="92"/>
      <c r="L29" s="101" t="s">
        <v>218</v>
      </c>
      <c r="O29" s="94">
        <v>6.5</v>
      </c>
      <c r="P29" s="94">
        <v>0.5</v>
      </c>
    </row>
    <row r="30" spans="1:16" s="94" customFormat="1" ht="30" x14ac:dyDescent="0.15">
      <c r="A30" s="283"/>
      <c r="B30" s="284" t="s">
        <v>217</v>
      </c>
      <c r="C30" s="279"/>
      <c r="D30" s="71"/>
      <c r="E30" s="71"/>
      <c r="F30" s="105"/>
      <c r="G30" s="105">
        <v>3</v>
      </c>
      <c r="H30" s="71" t="s">
        <v>216</v>
      </c>
      <c r="I30" s="106">
        <v>6</v>
      </c>
      <c r="J30" s="92"/>
      <c r="L30" s="101"/>
    </row>
    <row r="31" spans="1:16" s="94" customFormat="1" ht="30" x14ac:dyDescent="0.15">
      <c r="A31" s="283"/>
      <c r="B31" s="284" t="s">
        <v>215</v>
      </c>
      <c r="C31" s="279"/>
      <c r="D31" s="71"/>
      <c r="E31" s="71"/>
      <c r="F31" s="105"/>
      <c r="G31" s="105">
        <v>4</v>
      </c>
      <c r="H31" s="71" t="s">
        <v>214</v>
      </c>
      <c r="I31" s="106">
        <v>5</v>
      </c>
      <c r="J31" s="92"/>
      <c r="O31" s="94">
        <v>15</v>
      </c>
    </row>
    <row r="32" spans="1:16" s="94" customFormat="1" ht="30" x14ac:dyDescent="0.15">
      <c r="A32" s="104"/>
      <c r="B32" s="73"/>
      <c r="C32" s="92"/>
      <c r="D32" s="71"/>
      <c r="E32" s="71"/>
      <c r="F32" s="105"/>
      <c r="G32" s="105">
        <v>5</v>
      </c>
      <c r="H32" s="71" t="s">
        <v>213</v>
      </c>
      <c r="I32" s="94">
        <v>4</v>
      </c>
      <c r="J32" s="92"/>
    </row>
    <row r="33" spans="1:11" s="94" customFormat="1" ht="30" x14ac:dyDescent="0.15">
      <c r="A33" s="104"/>
      <c r="B33" s="73"/>
      <c r="C33" s="92"/>
      <c r="D33" s="71"/>
      <c r="E33" s="71"/>
      <c r="F33" s="105"/>
      <c r="G33" s="105">
        <v>6</v>
      </c>
      <c r="H33" s="71" t="s">
        <v>212</v>
      </c>
      <c r="I33" s="106">
        <v>2</v>
      </c>
      <c r="J33" s="92"/>
    </row>
    <row r="34" spans="1:11" s="94" customFormat="1" ht="30" x14ac:dyDescent="0.15">
      <c r="A34" s="104"/>
      <c r="B34" s="73"/>
      <c r="C34" s="92"/>
      <c r="D34" s="87"/>
      <c r="E34" s="71"/>
      <c r="F34" s="105"/>
      <c r="G34" s="105">
        <v>7</v>
      </c>
      <c r="H34" s="71" t="s">
        <v>211</v>
      </c>
      <c r="I34" s="94">
        <v>0</v>
      </c>
      <c r="J34" s="92"/>
    </row>
    <row r="35" spans="1:11" s="94" customFormat="1" ht="15.75" x14ac:dyDescent="0.15">
      <c r="A35" s="104"/>
      <c r="B35" s="73"/>
      <c r="C35" s="92"/>
      <c r="D35" s="87"/>
      <c r="E35" s="94" t="s">
        <v>210</v>
      </c>
      <c r="F35" s="87" t="s">
        <v>209</v>
      </c>
      <c r="G35" s="71"/>
      <c r="H35" s="71"/>
      <c r="I35" s="71"/>
      <c r="J35" s="92"/>
    </row>
    <row r="36" spans="1:11" s="94" customFormat="1" ht="15.75" x14ac:dyDescent="0.15">
      <c r="A36" s="104"/>
      <c r="B36" s="73"/>
      <c r="C36" s="92"/>
      <c r="D36" s="87"/>
      <c r="E36" s="71"/>
      <c r="F36" s="87"/>
      <c r="G36" s="71"/>
      <c r="H36" s="71"/>
      <c r="I36" s="71"/>
      <c r="J36" s="92"/>
    </row>
    <row r="37" spans="1:11" s="94" customFormat="1" ht="16.5" thickBot="1" x14ac:dyDescent="0.2">
      <c r="A37" s="104"/>
      <c r="B37" s="73"/>
      <c r="C37" s="92"/>
      <c r="D37" s="87"/>
      <c r="E37" s="103" t="s">
        <v>208</v>
      </c>
      <c r="F37" s="102" t="s">
        <v>207</v>
      </c>
      <c r="G37" s="71"/>
      <c r="H37" s="71"/>
      <c r="I37" s="71"/>
      <c r="J37" s="92"/>
    </row>
    <row r="38" spans="1:11" s="94" customFormat="1" ht="16.5" customHeight="1" x14ac:dyDescent="0.15">
      <c r="A38" s="282" t="s">
        <v>206</v>
      </c>
      <c r="B38" s="276" t="s">
        <v>205</v>
      </c>
      <c r="C38" s="277"/>
      <c r="D38" s="102"/>
      <c r="E38" s="94" t="s">
        <v>204</v>
      </c>
      <c r="F38" s="87" t="str">
        <f>LOOKUP(E38,E39:E47,F39:F47)</f>
        <v>9</v>
      </c>
      <c r="G38" s="96"/>
      <c r="H38" s="96"/>
      <c r="I38" s="71"/>
      <c r="J38" s="100"/>
      <c r="K38" s="101" t="s">
        <v>203</v>
      </c>
    </row>
    <row r="39" spans="1:11" s="94" customFormat="1" ht="37.5" customHeight="1" x14ac:dyDescent="0.15">
      <c r="A39" s="283"/>
      <c r="B39" s="284" t="s">
        <v>202</v>
      </c>
      <c r="C39" s="279"/>
      <c r="D39" s="87" t="str">
        <f>LOOKUP(E38,E39:E47,F39:F47)</f>
        <v>9</v>
      </c>
      <c r="E39" s="71" t="s">
        <v>201</v>
      </c>
      <c r="F39" s="97">
        <v>10</v>
      </c>
      <c r="G39" s="71"/>
      <c r="H39" s="71"/>
      <c r="I39" s="71"/>
      <c r="J39" s="92"/>
    </row>
    <row r="40" spans="1:11" s="94" customFormat="1" ht="37.5" customHeight="1" x14ac:dyDescent="0.15">
      <c r="A40" s="283"/>
      <c r="B40" s="73"/>
      <c r="C40" s="92"/>
      <c r="D40" s="87"/>
      <c r="E40" s="71" t="s">
        <v>200</v>
      </c>
      <c r="F40" s="97" t="s">
        <v>164</v>
      </c>
      <c r="G40" s="71"/>
      <c r="H40" s="71"/>
      <c r="I40" s="71"/>
      <c r="J40" s="92"/>
    </row>
    <row r="41" spans="1:11" s="94" customFormat="1" ht="65.25" customHeight="1" x14ac:dyDescent="0.15">
      <c r="A41" s="283"/>
      <c r="B41" s="284" t="s">
        <v>199</v>
      </c>
      <c r="C41" s="279"/>
      <c r="D41" s="87"/>
      <c r="E41" s="71" t="s">
        <v>198</v>
      </c>
      <c r="F41" s="97" t="s">
        <v>197</v>
      </c>
      <c r="G41" s="71"/>
      <c r="H41" s="71"/>
      <c r="I41" s="71"/>
      <c r="J41" s="92"/>
    </row>
    <row r="42" spans="1:11" s="94" customFormat="1" ht="65.25" customHeight="1" x14ac:dyDescent="0.15">
      <c r="A42" s="283"/>
      <c r="B42" s="73"/>
      <c r="C42" s="92"/>
      <c r="D42" s="87"/>
      <c r="E42" s="71" t="s">
        <v>196</v>
      </c>
      <c r="F42" s="97" t="s">
        <v>195</v>
      </c>
      <c r="G42" s="71"/>
      <c r="H42" s="71"/>
      <c r="I42" s="71"/>
      <c r="J42" s="92"/>
    </row>
    <row r="43" spans="1:11" s="94" customFormat="1" ht="65.25" customHeight="1" x14ac:dyDescent="0.15">
      <c r="A43" s="283"/>
      <c r="B43" s="73"/>
      <c r="C43" s="92"/>
      <c r="D43" s="87"/>
      <c r="E43" s="71" t="s">
        <v>194</v>
      </c>
      <c r="F43" s="97" t="s">
        <v>193</v>
      </c>
      <c r="G43" s="71"/>
      <c r="H43" s="71"/>
      <c r="I43" s="71"/>
      <c r="J43" s="92"/>
    </row>
    <row r="44" spans="1:11" s="94" customFormat="1" ht="39.75" customHeight="1" x14ac:dyDescent="0.15">
      <c r="A44" s="283"/>
      <c r="B44" s="284" t="s">
        <v>192</v>
      </c>
      <c r="C44" s="279"/>
      <c r="D44" s="87"/>
      <c r="E44" s="71" t="s">
        <v>191</v>
      </c>
      <c r="F44" s="97" t="s">
        <v>190</v>
      </c>
      <c r="G44" s="71"/>
      <c r="H44" s="71"/>
      <c r="I44" s="71"/>
      <c r="J44" s="92"/>
    </row>
    <row r="45" spans="1:11" s="94" customFormat="1" ht="39.75" customHeight="1" x14ac:dyDescent="0.15">
      <c r="A45" s="283"/>
      <c r="B45" s="73"/>
      <c r="C45" s="92"/>
      <c r="D45" s="87"/>
      <c r="E45" s="71" t="s">
        <v>189</v>
      </c>
      <c r="F45" s="97" t="s">
        <v>188</v>
      </c>
      <c r="G45" s="71"/>
      <c r="H45" s="71"/>
      <c r="I45" s="71"/>
      <c r="J45" s="92"/>
    </row>
    <row r="46" spans="1:11" s="94" customFormat="1" ht="63.75" customHeight="1" thickBot="1" x14ac:dyDescent="0.2">
      <c r="A46" s="283"/>
      <c r="B46" s="284" t="s">
        <v>187</v>
      </c>
      <c r="C46" s="279"/>
      <c r="D46" s="87"/>
      <c r="E46" s="71" t="s">
        <v>186</v>
      </c>
      <c r="F46" s="97" t="s">
        <v>185</v>
      </c>
      <c r="G46" s="71"/>
      <c r="H46" s="71"/>
      <c r="J46" s="92"/>
    </row>
    <row r="47" spans="1:11" s="94" customFormat="1" ht="15" customHeight="1" thickBot="1" x14ac:dyDescent="0.2">
      <c r="A47" s="283"/>
      <c r="B47" s="284" t="s">
        <v>184</v>
      </c>
      <c r="C47" s="279"/>
      <c r="D47" s="71"/>
      <c r="E47" s="71" t="s">
        <v>183</v>
      </c>
      <c r="F47" s="97" t="s">
        <v>182</v>
      </c>
      <c r="G47" s="71"/>
      <c r="H47" s="71"/>
      <c r="I47" s="80"/>
      <c r="J47" s="92"/>
    </row>
    <row r="48" spans="1:11" s="94" customFormat="1" ht="15.75" customHeight="1" x14ac:dyDescent="0.15">
      <c r="A48" s="282" t="s">
        <v>181</v>
      </c>
      <c r="B48" s="276" t="s">
        <v>180</v>
      </c>
      <c r="C48" s="277"/>
      <c r="D48" s="96"/>
      <c r="E48" s="71"/>
      <c r="F48" s="97"/>
      <c r="G48" s="96"/>
      <c r="H48" s="96"/>
      <c r="I48" s="73"/>
      <c r="J48" s="100"/>
    </row>
    <row r="49" spans="1:10" s="94" customFormat="1" ht="15.75" customHeight="1" x14ac:dyDescent="0.15">
      <c r="A49" s="283"/>
      <c r="B49" s="99">
        <v>0.67</v>
      </c>
      <c r="C49" s="98">
        <f>IF((B49&gt;=85%),10,IF(AND(B49&gt;=80%,B49&lt;85%),8,IF(AND(B49&gt;=75%,B49&lt;80),6,IF(AND(B49&gt;=65%,B49&lt;75%),4,IF(AND(B49&gt;=50%,B49&lt;65%),2,IF(AND(B49&gt;0,B49&lt;60%),0,"error"))))))</f>
        <v>4</v>
      </c>
      <c r="D49" s="96"/>
      <c r="E49" s="71"/>
      <c r="F49" s="97"/>
      <c r="G49" s="96"/>
      <c r="H49" s="96"/>
      <c r="I49" s="73"/>
      <c r="J49" s="95"/>
    </row>
    <row r="50" spans="1:10" s="94" customFormat="1" ht="15" customHeight="1" x14ac:dyDescent="0.15">
      <c r="A50" s="283"/>
      <c r="B50" s="89" t="s">
        <v>179</v>
      </c>
      <c r="C50" s="93">
        <v>0</v>
      </c>
      <c r="D50" s="71"/>
      <c r="E50" s="71"/>
      <c r="F50" s="87"/>
      <c r="G50" s="71"/>
      <c r="H50" s="71"/>
      <c r="I50" s="73"/>
      <c r="J50" s="92"/>
    </row>
    <row r="51" spans="1:10" ht="15" customHeight="1" x14ac:dyDescent="0.15">
      <c r="A51" s="283"/>
      <c r="B51" s="89" t="s">
        <v>178</v>
      </c>
      <c r="C51" s="93">
        <v>2</v>
      </c>
      <c r="D51" s="71"/>
      <c r="E51" s="71"/>
      <c r="F51" s="87"/>
      <c r="G51" s="71"/>
      <c r="H51" s="71"/>
      <c r="I51" s="73"/>
      <c r="J51" s="92"/>
    </row>
    <row r="52" spans="1:10" ht="15" customHeight="1" x14ac:dyDescent="0.15">
      <c r="A52" s="283"/>
      <c r="B52" s="89" t="s">
        <v>177</v>
      </c>
      <c r="C52" s="93">
        <v>4</v>
      </c>
      <c r="D52" s="71"/>
      <c r="E52" s="71" t="s">
        <v>176</v>
      </c>
      <c r="F52" s="87" t="s">
        <v>171</v>
      </c>
      <c r="G52" s="71"/>
      <c r="H52" s="71"/>
      <c r="I52" s="73"/>
      <c r="J52" s="92"/>
    </row>
    <row r="53" spans="1:10" ht="15" customHeight="1" x14ac:dyDescent="0.15">
      <c r="A53" s="283"/>
      <c r="B53" s="89" t="s">
        <v>175</v>
      </c>
      <c r="C53" s="93">
        <v>6</v>
      </c>
      <c r="D53" s="89"/>
      <c r="E53" s="71" t="s">
        <v>174</v>
      </c>
      <c r="F53" s="87" t="s">
        <v>171</v>
      </c>
      <c r="G53" s="71"/>
      <c r="H53" s="71"/>
      <c r="I53" s="73"/>
      <c r="J53" s="92"/>
    </row>
    <row r="54" spans="1:10" ht="15" customHeight="1" x14ac:dyDescent="0.15">
      <c r="A54" s="283"/>
      <c r="B54" s="89" t="s">
        <v>173</v>
      </c>
      <c r="C54" s="93">
        <v>8</v>
      </c>
      <c r="D54" s="85"/>
      <c r="E54" s="71" t="s">
        <v>172</v>
      </c>
      <c r="F54" s="87" t="s">
        <v>171</v>
      </c>
      <c r="G54" s="71"/>
      <c r="H54" s="71"/>
      <c r="I54" s="73"/>
      <c r="J54" s="92"/>
    </row>
    <row r="55" spans="1:10" ht="15.75" customHeight="1" thickBot="1" x14ac:dyDescent="0.2">
      <c r="A55" s="287"/>
      <c r="B55" s="91" t="s">
        <v>170</v>
      </c>
      <c r="C55" s="90">
        <v>10</v>
      </c>
      <c r="D55" s="89"/>
      <c r="E55" s="71" t="s">
        <v>169</v>
      </c>
      <c r="F55" s="87" t="s">
        <v>164</v>
      </c>
      <c r="G55" s="71"/>
      <c r="H55" s="71"/>
      <c r="I55" s="73"/>
      <c r="J55" s="88"/>
    </row>
    <row r="56" spans="1:10" ht="45" x14ac:dyDescent="0.15">
      <c r="A56" s="71" t="s">
        <v>168</v>
      </c>
      <c r="B56" s="71"/>
      <c r="C56" s="71"/>
      <c r="E56" s="71" t="s">
        <v>167</v>
      </c>
      <c r="F56" s="87" t="s">
        <v>164</v>
      </c>
      <c r="G56" s="71"/>
      <c r="H56" s="71"/>
      <c r="I56" s="80"/>
      <c r="J56" s="71"/>
    </row>
    <row r="57" spans="1:10" ht="15" customHeight="1" x14ac:dyDescent="0.15">
      <c r="A57" s="71" t="s">
        <v>166</v>
      </c>
      <c r="B57" s="71"/>
      <c r="C57" s="71"/>
      <c r="D57" s="85"/>
      <c r="E57" s="71" t="s">
        <v>165</v>
      </c>
      <c r="F57" s="86" t="s">
        <v>164</v>
      </c>
      <c r="G57" s="71"/>
      <c r="H57" s="71"/>
      <c r="I57" s="73"/>
      <c r="J57" s="71"/>
    </row>
    <row r="58" spans="1:10" ht="15.75" customHeight="1" x14ac:dyDescent="0.15">
      <c r="A58" s="70"/>
      <c r="B58" s="70"/>
      <c r="C58" s="70"/>
      <c r="D58" s="85"/>
      <c r="E58" s="83" t="s">
        <v>163</v>
      </c>
      <c r="F58" s="84">
        <v>8</v>
      </c>
      <c r="G58" s="70"/>
      <c r="H58" s="70"/>
      <c r="I58" s="73"/>
      <c r="J58" s="70"/>
    </row>
    <row r="59" spans="1:10" ht="15" customHeight="1" x14ac:dyDescent="0.15">
      <c r="B59" s="62"/>
      <c r="C59" s="83"/>
      <c r="D59" s="79" t="s">
        <v>162</v>
      </c>
      <c r="E59" s="81" t="s">
        <v>161</v>
      </c>
      <c r="F59" s="82"/>
      <c r="G59" s="83"/>
      <c r="H59" s="83"/>
      <c r="I59" s="73"/>
      <c r="J59" s="69"/>
    </row>
    <row r="60" spans="1:10" ht="15" customHeight="1" x14ac:dyDescent="0.15">
      <c r="A60" s="286"/>
      <c r="B60" s="286"/>
      <c r="C60" s="81"/>
      <c r="D60" s="79"/>
      <c r="E60" s="81" t="s">
        <v>157</v>
      </c>
      <c r="F60" s="82">
        <f>COUNT(E58:E74)</f>
        <v>0</v>
      </c>
      <c r="G60" s="81"/>
      <c r="H60" s="81"/>
      <c r="I60" s="73"/>
      <c r="J60" s="68"/>
    </row>
    <row r="61" spans="1:10" ht="80.45" customHeight="1" thickBot="1" x14ac:dyDescent="0.2">
      <c r="B61" s="62"/>
      <c r="C61" s="81"/>
      <c r="D61" s="79"/>
      <c r="E61" s="66" t="s">
        <v>160</v>
      </c>
      <c r="F61" s="78"/>
      <c r="G61" s="81"/>
      <c r="H61" s="81"/>
      <c r="I61" s="73"/>
      <c r="J61" s="68"/>
    </row>
    <row r="62" spans="1:10" x14ac:dyDescent="0.15">
      <c r="A62" s="286"/>
      <c r="B62" s="286"/>
      <c r="C62" s="66"/>
      <c r="D62" s="79"/>
      <c r="E62" s="66" t="s">
        <v>159</v>
      </c>
      <c r="F62" s="78"/>
      <c r="G62" s="66"/>
      <c r="H62" s="66"/>
      <c r="I62" s="80"/>
      <c r="J62" s="67"/>
    </row>
    <row r="63" spans="1:10" x14ac:dyDescent="0.15">
      <c r="A63" s="77"/>
      <c r="B63" s="77"/>
      <c r="C63" s="66"/>
      <c r="D63" s="79"/>
      <c r="E63" s="66" t="s">
        <v>158</v>
      </c>
      <c r="F63" s="78"/>
      <c r="G63" s="66"/>
      <c r="H63" s="66"/>
      <c r="I63" s="76"/>
      <c r="J63" s="67"/>
    </row>
    <row r="64" spans="1:10" x14ac:dyDescent="0.15">
      <c r="A64" s="77"/>
      <c r="B64" s="77"/>
      <c r="C64" s="66"/>
      <c r="D64" s="79"/>
      <c r="E64" s="66" t="s">
        <v>157</v>
      </c>
      <c r="F64" s="78"/>
      <c r="G64" s="66"/>
      <c r="H64" s="66"/>
      <c r="I64" s="76"/>
      <c r="J64" s="67"/>
    </row>
    <row r="65" spans="1:10" x14ac:dyDescent="0.15">
      <c r="A65" s="77"/>
      <c r="B65" s="77"/>
      <c r="C65" s="66"/>
      <c r="D65" s="79"/>
      <c r="E65" s="66" t="s">
        <v>156</v>
      </c>
      <c r="F65" s="78"/>
      <c r="G65" s="66"/>
      <c r="H65" s="66"/>
      <c r="I65" s="76"/>
      <c r="J65" s="67"/>
    </row>
    <row r="66" spans="1:10" x14ac:dyDescent="0.15">
      <c r="A66" s="77"/>
      <c r="B66" s="77"/>
      <c r="C66" s="66"/>
      <c r="D66" s="79"/>
      <c r="E66" s="66" t="s">
        <v>155</v>
      </c>
      <c r="F66" s="78"/>
      <c r="G66" s="66"/>
      <c r="H66" s="66"/>
      <c r="I66" s="76"/>
      <c r="J66" s="67"/>
    </row>
    <row r="67" spans="1:10" x14ac:dyDescent="0.15">
      <c r="A67" s="77"/>
      <c r="B67" s="77"/>
      <c r="C67" s="66"/>
      <c r="D67" s="79"/>
      <c r="E67" s="66" t="s">
        <v>154</v>
      </c>
      <c r="F67" s="78"/>
      <c r="G67" s="66"/>
      <c r="H67" s="66"/>
      <c r="I67" s="76"/>
      <c r="J67" s="67"/>
    </row>
    <row r="68" spans="1:10" x14ac:dyDescent="0.15">
      <c r="A68" s="77"/>
      <c r="B68" s="77"/>
      <c r="C68" s="66"/>
      <c r="D68" s="79"/>
      <c r="E68" s="66" t="s">
        <v>153</v>
      </c>
      <c r="F68" s="78"/>
      <c r="G68" s="66"/>
      <c r="H68" s="66"/>
      <c r="I68" s="76"/>
      <c r="J68" s="67"/>
    </row>
    <row r="69" spans="1:10" x14ac:dyDescent="0.15">
      <c r="A69" s="77"/>
      <c r="B69" s="77"/>
      <c r="C69" s="66"/>
      <c r="D69" s="79"/>
      <c r="E69" s="66" t="s">
        <v>152</v>
      </c>
      <c r="F69" s="78"/>
      <c r="G69" s="66"/>
      <c r="H69" s="66"/>
      <c r="I69" s="76"/>
      <c r="J69" s="67"/>
    </row>
    <row r="70" spans="1:10" x14ac:dyDescent="0.15">
      <c r="A70" s="77"/>
      <c r="B70" s="77"/>
      <c r="C70" s="66"/>
      <c r="D70" s="79"/>
      <c r="E70" s="66" t="s">
        <v>151</v>
      </c>
      <c r="F70" s="78"/>
      <c r="G70" s="66"/>
      <c r="H70" s="66"/>
      <c r="I70" s="76"/>
      <c r="J70" s="67"/>
    </row>
    <row r="71" spans="1:10" x14ac:dyDescent="0.15">
      <c r="A71" s="77"/>
      <c r="B71" s="77"/>
      <c r="C71" s="66"/>
      <c r="D71" s="79"/>
      <c r="E71" s="66" t="s">
        <v>150</v>
      </c>
      <c r="F71" s="78"/>
      <c r="G71" s="66"/>
      <c r="H71" s="66"/>
      <c r="I71" s="76"/>
      <c r="J71" s="67"/>
    </row>
    <row r="72" spans="1:10" x14ac:dyDescent="0.15">
      <c r="A72" s="77"/>
      <c r="B72" s="77"/>
      <c r="C72" s="66"/>
      <c r="D72" s="79"/>
      <c r="E72" s="66" t="s">
        <v>149</v>
      </c>
      <c r="F72" s="78"/>
      <c r="G72" s="66"/>
      <c r="H72" s="66"/>
      <c r="I72" s="76"/>
      <c r="J72" s="67"/>
    </row>
    <row r="73" spans="1:10" x14ac:dyDescent="0.15">
      <c r="A73" s="77"/>
      <c r="B73" s="77"/>
      <c r="C73" s="66"/>
      <c r="D73" s="79"/>
      <c r="E73" s="66" t="s">
        <v>148</v>
      </c>
      <c r="F73" s="78"/>
      <c r="G73" s="66"/>
      <c r="H73" s="66"/>
      <c r="I73" s="76"/>
      <c r="J73" s="67"/>
    </row>
    <row r="74" spans="1:10" x14ac:dyDescent="0.15">
      <c r="A74" s="77"/>
      <c r="B74" s="77"/>
      <c r="C74" s="66"/>
      <c r="D74" s="79"/>
      <c r="E74" s="66" t="s">
        <v>147</v>
      </c>
      <c r="F74" s="78"/>
      <c r="G74" s="66"/>
      <c r="H74" s="66"/>
      <c r="I74" s="76"/>
      <c r="J74" s="67"/>
    </row>
    <row r="75" spans="1:10" x14ac:dyDescent="0.15">
      <c r="A75" s="77"/>
      <c r="B75" s="77"/>
      <c r="C75" s="66"/>
      <c r="D75" s="79"/>
      <c r="E75" s="66" t="s">
        <v>146</v>
      </c>
      <c r="F75" s="78"/>
      <c r="G75" s="66"/>
      <c r="H75" s="66"/>
      <c r="I75" s="76"/>
      <c r="J75" s="67"/>
    </row>
    <row r="76" spans="1:10" x14ac:dyDescent="0.15">
      <c r="A76" s="77"/>
      <c r="B76" s="77"/>
      <c r="C76" s="66"/>
      <c r="D76" s="285" t="s">
        <v>145</v>
      </c>
      <c r="E76" s="66" t="s">
        <v>144</v>
      </c>
      <c r="F76" s="78"/>
      <c r="G76" s="66"/>
      <c r="H76" s="66"/>
      <c r="I76" s="76"/>
      <c r="J76" s="67"/>
    </row>
    <row r="77" spans="1:10" x14ac:dyDescent="0.15">
      <c r="A77" s="77"/>
      <c r="B77" s="77"/>
      <c r="C77" s="66"/>
      <c r="D77" s="285"/>
      <c r="E77" s="66" t="s">
        <v>143</v>
      </c>
      <c r="F77" s="78"/>
      <c r="G77" s="66"/>
      <c r="H77" s="66"/>
      <c r="I77" s="76"/>
      <c r="J77" s="67"/>
    </row>
    <row r="78" spans="1:10" x14ac:dyDescent="0.15">
      <c r="A78" s="77"/>
      <c r="B78" s="77"/>
      <c r="C78" s="66"/>
      <c r="D78" s="285"/>
      <c r="E78" s="66" t="s">
        <v>142</v>
      </c>
      <c r="F78" s="78"/>
      <c r="G78" s="66"/>
      <c r="H78" s="66"/>
      <c r="I78" s="76"/>
      <c r="J78" s="67"/>
    </row>
    <row r="79" spans="1:10" x14ac:dyDescent="0.15">
      <c r="A79" s="77"/>
      <c r="B79" s="77"/>
      <c r="C79" s="66"/>
      <c r="D79" s="285"/>
      <c r="E79" s="66"/>
      <c r="F79" s="78"/>
      <c r="G79" s="66"/>
      <c r="H79" s="66"/>
      <c r="I79" s="76"/>
      <c r="J79" s="67"/>
    </row>
    <row r="80" spans="1:10" x14ac:dyDescent="0.15">
      <c r="A80" s="77"/>
      <c r="B80" s="77"/>
      <c r="C80" s="66"/>
      <c r="D80" s="66"/>
      <c r="E80" s="66"/>
      <c r="F80" s="78"/>
      <c r="G80" s="66"/>
      <c r="H80" s="66"/>
      <c r="I80" s="76"/>
      <c r="J80" s="67"/>
    </row>
    <row r="81" spans="1:10" x14ac:dyDescent="0.15">
      <c r="A81" s="77"/>
      <c r="B81" s="77"/>
      <c r="C81" s="66"/>
      <c r="D81" s="66"/>
      <c r="E81" s="63" t="s">
        <v>141</v>
      </c>
      <c r="G81" s="66"/>
      <c r="H81" s="66"/>
      <c r="I81" s="76"/>
      <c r="J81" s="67"/>
    </row>
    <row r="82" spans="1:10" x14ac:dyDescent="0.15">
      <c r="B82" s="66"/>
      <c r="E82" s="74">
        <v>0.25</v>
      </c>
      <c r="I82" s="73"/>
    </row>
    <row r="83" spans="1:10" ht="15.75" x14ac:dyDescent="0.15">
      <c r="C83" s="75" t="s">
        <v>140</v>
      </c>
      <c r="D83" s="75"/>
      <c r="E83" s="74">
        <v>0.5</v>
      </c>
      <c r="I83" s="73"/>
    </row>
    <row r="84" spans="1:10" x14ac:dyDescent="0.15">
      <c r="C84" s="64" t="s">
        <v>139</v>
      </c>
      <c r="D84" s="64"/>
      <c r="E84" s="74">
        <v>0.15</v>
      </c>
      <c r="I84" s="73"/>
    </row>
    <row r="85" spans="1:10" x14ac:dyDescent="0.15">
      <c r="C85" s="63" t="s">
        <v>138</v>
      </c>
      <c r="E85" s="74">
        <v>0.1</v>
      </c>
      <c r="I85" s="73"/>
    </row>
    <row r="86" spans="1:10" x14ac:dyDescent="0.15">
      <c r="C86" s="63" t="s">
        <v>137</v>
      </c>
      <c r="I86" s="73"/>
    </row>
    <row r="87" spans="1:10" ht="15.75" thickBot="1" x14ac:dyDescent="0.2">
      <c r="I87" s="72"/>
    </row>
    <row r="88" spans="1:10" x14ac:dyDescent="0.15">
      <c r="I88" s="71"/>
    </row>
    <row r="89" spans="1:10" x14ac:dyDescent="0.15">
      <c r="I89" s="71"/>
    </row>
    <row r="90" spans="1:10" ht="15.75" x14ac:dyDescent="0.15">
      <c r="I90" s="70"/>
    </row>
    <row r="91" spans="1:10" x14ac:dyDescent="0.15">
      <c r="I91" s="69"/>
    </row>
    <row r="92" spans="1:10" x14ac:dyDescent="0.15">
      <c r="I92" s="68"/>
    </row>
    <row r="93" spans="1:10" x14ac:dyDescent="0.15">
      <c r="I93" s="68"/>
    </row>
    <row r="94" spans="1:10" x14ac:dyDescent="0.15">
      <c r="I94" s="67"/>
    </row>
    <row r="95" spans="1:10" x14ac:dyDescent="0.15">
      <c r="I95" s="66"/>
    </row>
  </sheetData>
  <mergeCells count="26">
    <mergeCell ref="D76:D79"/>
    <mergeCell ref="A60:B60"/>
    <mergeCell ref="A62:B62"/>
    <mergeCell ref="A48:A55"/>
    <mergeCell ref="B48:C48"/>
    <mergeCell ref="B46:C46"/>
    <mergeCell ref="B41:C41"/>
    <mergeCell ref="B44:C44"/>
    <mergeCell ref="A38:A47"/>
    <mergeCell ref="B38:C38"/>
    <mergeCell ref="B39:C39"/>
    <mergeCell ref="B47:C47"/>
    <mergeCell ref="A27:A31"/>
    <mergeCell ref="B27:C27"/>
    <mergeCell ref="B28:C28"/>
    <mergeCell ref="B30:C30"/>
    <mergeCell ref="B29:C29"/>
    <mergeCell ref="B31:C31"/>
    <mergeCell ref="A1:B1"/>
    <mergeCell ref="B3:C3"/>
    <mergeCell ref="I3:J3"/>
    <mergeCell ref="A4:A26"/>
    <mergeCell ref="B4:C4"/>
    <mergeCell ref="B5:C5"/>
    <mergeCell ref="B6:C6"/>
    <mergeCell ref="B26:C26"/>
  </mergeCells>
  <phoneticPr fontId="1" type="noConversion"/>
  <dataValidations count="3">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3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94"/>
  <sheetViews>
    <sheetView view="pageBreakPreview" topLeftCell="A46" zoomScaleNormal="70" zoomScaleSheetLayoutView="100" workbookViewId="0">
      <selection activeCell="B47" sqref="B47:C47"/>
    </sheetView>
  </sheetViews>
  <sheetFormatPr defaultRowHeight="15" x14ac:dyDescent="0.15"/>
  <cols>
    <col min="1" max="1" width="34.75" style="17" bestFit="1" customWidth="1"/>
    <col min="2" max="2" width="35.75" style="17" customWidth="1"/>
    <col min="3" max="4" width="35.75" style="16" customWidth="1"/>
    <col min="5" max="5" width="40.75" style="17" bestFit="1" customWidth="1"/>
    <col min="6" max="6" width="35.75" style="43" customWidth="1"/>
    <col min="7" max="7" width="35.75" style="16" customWidth="1"/>
    <col min="8" max="8" width="7.5" style="16" customWidth="1"/>
    <col min="9" max="9" width="16.5" style="43" customWidth="1"/>
    <col min="10" max="10" width="35.75" style="16" customWidth="1"/>
    <col min="11" max="16384" width="9" style="15"/>
  </cols>
  <sheetData>
    <row r="1" spans="1:11" ht="18" x14ac:dyDescent="0.15">
      <c r="A1" s="303" t="s">
        <v>410</v>
      </c>
      <c r="B1" s="303"/>
      <c r="I1" s="143"/>
    </row>
    <row r="2" spans="1:11" ht="28.5" customHeight="1" thickBot="1" x14ac:dyDescent="0.2">
      <c r="A2" s="39"/>
      <c r="B2" s="39"/>
      <c r="C2" s="39"/>
      <c r="D2" s="39"/>
      <c r="E2" s="39"/>
      <c r="F2" s="44"/>
      <c r="G2" s="39"/>
      <c r="H2" s="39"/>
      <c r="I2" s="44"/>
      <c r="J2" s="39"/>
    </row>
    <row r="3" spans="1:11" ht="21.6" customHeight="1" thickBot="1" x14ac:dyDescent="0.2">
      <c r="A3" s="38" t="s">
        <v>409</v>
      </c>
      <c r="B3" s="304" t="s">
        <v>408</v>
      </c>
      <c r="C3" s="305"/>
      <c r="D3" s="37"/>
      <c r="E3" s="37"/>
      <c r="F3" s="45"/>
      <c r="G3" s="37"/>
      <c r="H3" s="37"/>
      <c r="I3" s="304" t="s">
        <v>407</v>
      </c>
      <c r="J3" s="305"/>
    </row>
    <row r="4" spans="1:11" ht="15.75" customHeight="1" x14ac:dyDescent="0.15">
      <c r="A4" s="306" t="s">
        <v>406</v>
      </c>
      <c r="B4" s="301" t="s">
        <v>371</v>
      </c>
      <c r="C4" s="302"/>
      <c r="D4" s="36"/>
      <c r="E4" s="36"/>
      <c r="F4" s="46"/>
      <c r="G4" s="36"/>
      <c r="H4" s="36"/>
      <c r="I4" s="142" t="s">
        <v>405</v>
      </c>
      <c r="J4" s="35" t="s">
        <v>404</v>
      </c>
      <c r="K4" s="34" t="s">
        <v>403</v>
      </c>
    </row>
    <row r="5" spans="1:11" s="27" customFormat="1" ht="30" x14ac:dyDescent="0.15">
      <c r="A5" s="307"/>
      <c r="B5" s="309" t="s">
        <v>402</v>
      </c>
      <c r="C5" s="294"/>
      <c r="D5" s="23"/>
      <c r="E5" s="23"/>
      <c r="F5" s="47"/>
      <c r="G5" s="23"/>
      <c r="H5" s="23"/>
      <c r="I5" s="141" t="s">
        <v>401</v>
      </c>
      <c r="J5" s="33" t="s">
        <v>400</v>
      </c>
    </row>
    <row r="6" spans="1:11" s="27" customFormat="1" x14ac:dyDescent="0.15">
      <c r="A6" s="307"/>
      <c r="B6" s="309"/>
      <c r="C6" s="294"/>
      <c r="D6" s="23"/>
      <c r="E6" s="23"/>
      <c r="F6" s="47"/>
      <c r="G6" s="23"/>
      <c r="H6" s="23"/>
      <c r="I6" s="141" t="s">
        <v>399</v>
      </c>
      <c r="J6" s="33" t="s">
        <v>398</v>
      </c>
    </row>
    <row r="7" spans="1:11" s="27" customFormat="1" ht="45.75" thickBot="1" x14ac:dyDescent="0.2">
      <c r="A7" s="307"/>
      <c r="B7" s="54"/>
      <c r="C7" s="55"/>
      <c r="D7" s="23"/>
      <c r="E7" s="23"/>
      <c r="F7" s="47"/>
      <c r="G7" s="23"/>
      <c r="H7" s="23"/>
      <c r="I7" s="140" t="s">
        <v>397</v>
      </c>
      <c r="J7" s="32" t="s">
        <v>396</v>
      </c>
    </row>
    <row r="8" spans="1:11" s="27" customFormat="1" ht="90" x14ac:dyDescent="0.15">
      <c r="A8" s="307"/>
      <c r="B8" s="54"/>
      <c r="C8" s="55"/>
      <c r="D8" s="23"/>
      <c r="E8" s="23"/>
      <c r="F8" s="47"/>
      <c r="G8" s="23"/>
      <c r="H8" s="23"/>
      <c r="I8" s="139" t="s">
        <v>395</v>
      </c>
      <c r="J8" s="55" t="s">
        <v>394</v>
      </c>
    </row>
    <row r="9" spans="1:11" s="27" customFormat="1" ht="30" x14ac:dyDescent="0.15">
      <c r="A9" s="307"/>
      <c r="B9" s="54"/>
      <c r="C9" s="55"/>
      <c r="D9" s="23"/>
      <c r="E9" s="23"/>
      <c r="F9" s="47"/>
      <c r="G9" s="23"/>
      <c r="H9" s="23"/>
      <c r="I9" s="137" t="s">
        <v>393</v>
      </c>
      <c r="J9" s="55" t="s">
        <v>392</v>
      </c>
    </row>
    <row r="10" spans="1:11" s="27" customFormat="1" ht="30" x14ac:dyDescent="0.15">
      <c r="A10" s="307"/>
      <c r="B10" s="54"/>
      <c r="C10" s="55"/>
      <c r="D10" s="23"/>
      <c r="E10" s="23"/>
      <c r="F10" s="47"/>
      <c r="G10" s="23"/>
      <c r="H10" s="23"/>
      <c r="I10" s="137" t="s">
        <v>391</v>
      </c>
      <c r="J10" s="55" t="s">
        <v>390</v>
      </c>
    </row>
    <row r="11" spans="1:11" s="27" customFormat="1" ht="45" x14ac:dyDescent="0.15">
      <c r="A11" s="307"/>
      <c r="B11" s="54"/>
      <c r="C11" s="55"/>
      <c r="D11" s="23"/>
      <c r="E11" s="23"/>
      <c r="F11" s="47"/>
      <c r="G11" s="23"/>
      <c r="H11" s="23"/>
      <c r="I11" s="138" t="s">
        <v>389</v>
      </c>
      <c r="J11" s="23" t="s">
        <v>388</v>
      </c>
    </row>
    <row r="12" spans="1:11" s="27" customFormat="1" ht="30" x14ac:dyDescent="0.15">
      <c r="A12" s="307"/>
      <c r="B12" s="54"/>
      <c r="C12" s="55"/>
      <c r="D12" s="23"/>
      <c r="E12" s="23"/>
      <c r="F12" s="47"/>
      <c r="G12" s="23"/>
      <c r="H12" s="23"/>
      <c r="I12" s="137" t="s">
        <v>387</v>
      </c>
      <c r="J12" s="23" t="s">
        <v>386</v>
      </c>
    </row>
    <row r="13" spans="1:11" s="27" customFormat="1" ht="60" x14ac:dyDescent="0.15">
      <c r="A13" s="307"/>
      <c r="B13" s="54"/>
      <c r="C13" s="55"/>
      <c r="D13" s="23"/>
      <c r="E13" s="23"/>
      <c r="F13" s="47"/>
      <c r="G13" s="23"/>
      <c r="H13" s="23"/>
      <c r="I13" s="137" t="s">
        <v>385</v>
      </c>
      <c r="J13" s="23" t="s">
        <v>384</v>
      </c>
    </row>
    <row r="14" spans="1:11" s="27" customFormat="1" ht="30" x14ac:dyDescent="0.15">
      <c r="A14" s="307"/>
      <c r="B14" s="54"/>
      <c r="C14" s="55"/>
      <c r="D14" s="23"/>
      <c r="E14" s="23"/>
      <c r="F14" s="47"/>
      <c r="G14" s="23"/>
      <c r="H14" s="23"/>
      <c r="I14" s="137" t="s">
        <v>383</v>
      </c>
      <c r="J14" s="23"/>
    </row>
    <row r="15" spans="1:11" s="27" customFormat="1" ht="30" x14ac:dyDescent="0.15">
      <c r="A15" s="307"/>
      <c r="B15" s="54"/>
      <c r="C15" s="55"/>
      <c r="D15" s="23"/>
      <c r="E15" s="23"/>
      <c r="F15" s="47"/>
      <c r="G15" s="23"/>
      <c r="H15" s="23"/>
      <c r="I15" s="137" t="s">
        <v>382</v>
      </c>
      <c r="J15" s="23"/>
    </row>
    <row r="16" spans="1:11" s="27" customFormat="1" ht="30" x14ac:dyDescent="0.15">
      <c r="A16" s="307"/>
      <c r="B16" s="54"/>
      <c r="C16" s="55"/>
      <c r="D16" s="23"/>
      <c r="E16" s="23"/>
      <c r="F16" s="47"/>
      <c r="G16" s="23"/>
      <c r="H16" s="23"/>
      <c r="I16" s="137" t="s">
        <v>381</v>
      </c>
      <c r="J16" s="23"/>
    </row>
    <row r="17" spans="1:16" s="27" customFormat="1" x14ac:dyDescent="0.15">
      <c r="A17" s="307"/>
      <c r="B17" s="54"/>
      <c r="C17" s="55"/>
      <c r="D17" s="23"/>
      <c r="E17" s="23"/>
      <c r="F17" s="47"/>
      <c r="G17" s="23"/>
      <c r="H17" s="23"/>
      <c r="I17" s="137" t="s">
        <v>380</v>
      </c>
      <c r="J17" s="23"/>
    </row>
    <row r="18" spans="1:16" s="27" customFormat="1" ht="30" x14ac:dyDescent="0.15">
      <c r="A18" s="307"/>
      <c r="B18" s="54"/>
      <c r="C18" s="55"/>
      <c r="D18" s="23"/>
      <c r="E18" s="23"/>
      <c r="F18" s="47"/>
      <c r="G18" s="23"/>
      <c r="H18" s="23"/>
      <c r="I18" s="137" t="s">
        <v>379</v>
      </c>
      <c r="J18" s="23"/>
    </row>
    <row r="19" spans="1:16" s="27" customFormat="1" ht="30" x14ac:dyDescent="0.15">
      <c r="A19" s="307"/>
      <c r="B19" s="54"/>
      <c r="C19" s="55"/>
      <c r="D19" s="23"/>
      <c r="E19" s="23"/>
      <c r="F19" s="47"/>
      <c r="G19" s="23"/>
      <c r="H19" s="23"/>
      <c r="I19" s="137" t="s">
        <v>378</v>
      </c>
      <c r="J19" s="23"/>
    </row>
    <row r="20" spans="1:16" s="27" customFormat="1" x14ac:dyDescent="0.15">
      <c r="A20" s="307"/>
      <c r="B20" s="54"/>
      <c r="C20" s="55"/>
      <c r="D20" s="23"/>
      <c r="E20" s="23"/>
      <c r="F20" s="47"/>
      <c r="G20" s="23"/>
      <c r="H20" s="23"/>
      <c r="I20" s="137" t="s">
        <v>377</v>
      </c>
      <c r="J20" s="23"/>
    </row>
    <row r="21" spans="1:16" s="27" customFormat="1" ht="60" x14ac:dyDescent="0.15">
      <c r="A21" s="307"/>
      <c r="B21" s="54"/>
      <c r="C21" s="55"/>
      <c r="D21" s="23"/>
      <c r="E21" s="23"/>
      <c r="F21" s="47"/>
      <c r="G21" s="23"/>
      <c r="H21" s="23"/>
      <c r="I21" s="137" t="s">
        <v>376</v>
      </c>
      <c r="J21" s="23"/>
    </row>
    <row r="22" spans="1:16" s="27" customFormat="1" ht="30" x14ac:dyDescent="0.15">
      <c r="A22" s="307"/>
      <c r="B22" s="54"/>
      <c r="C22" s="55"/>
      <c r="D22" s="23"/>
      <c r="E22" s="23"/>
      <c r="F22" s="47"/>
      <c r="G22" s="23"/>
      <c r="H22" s="23"/>
      <c r="I22" s="137" t="s">
        <v>375</v>
      </c>
      <c r="J22" s="23"/>
    </row>
    <row r="23" spans="1:16" s="27" customFormat="1" ht="30" x14ac:dyDescent="0.15">
      <c r="A23" s="307"/>
      <c r="B23" s="54"/>
      <c r="C23" s="55"/>
      <c r="D23" s="23"/>
      <c r="E23" s="23"/>
      <c r="F23" s="47"/>
      <c r="G23" s="23"/>
      <c r="H23" s="23"/>
      <c r="I23" s="137" t="s">
        <v>374</v>
      </c>
      <c r="J23" s="23"/>
    </row>
    <row r="24" spans="1:16" s="27" customFormat="1" x14ac:dyDescent="0.15">
      <c r="A24" s="307"/>
      <c r="B24" s="54"/>
      <c r="C24" s="55"/>
      <c r="D24" s="23"/>
      <c r="E24" s="23"/>
      <c r="F24" s="47"/>
      <c r="G24" s="23"/>
      <c r="H24" s="23"/>
      <c r="I24" s="138"/>
      <c r="J24" s="23"/>
    </row>
    <row r="25" spans="1:16" s="27" customFormat="1" x14ac:dyDescent="0.15">
      <c r="A25" s="307"/>
      <c r="B25" s="54"/>
      <c r="C25" s="55"/>
      <c r="D25" s="23"/>
      <c r="E25" s="23"/>
      <c r="F25" s="47"/>
      <c r="G25" s="23"/>
      <c r="H25" s="23"/>
      <c r="I25" s="137"/>
      <c r="J25" s="23"/>
    </row>
    <row r="26" spans="1:16" s="27" customFormat="1" ht="15.75" customHeight="1" thickBot="1" x14ac:dyDescent="0.2">
      <c r="A26" s="308"/>
      <c r="B26" s="296"/>
      <c r="C26" s="297"/>
      <c r="D26" s="23"/>
      <c r="E26" s="23"/>
      <c r="F26" s="47"/>
      <c r="G26" s="23"/>
      <c r="H26" s="23"/>
      <c r="I26" s="137"/>
      <c r="L26" s="27" t="s">
        <v>373</v>
      </c>
    </row>
    <row r="27" spans="1:16" s="27" customFormat="1" ht="15" customHeight="1" x14ac:dyDescent="0.15">
      <c r="A27" s="298" t="s">
        <v>372</v>
      </c>
      <c r="B27" s="301" t="s">
        <v>371</v>
      </c>
      <c r="C27" s="302"/>
      <c r="D27" s="28"/>
      <c r="E27" s="28" t="s">
        <v>370</v>
      </c>
      <c r="F27" s="48" t="s">
        <v>369</v>
      </c>
      <c r="G27" s="28"/>
      <c r="H27" s="28"/>
      <c r="I27" s="47" t="s">
        <v>368</v>
      </c>
      <c r="J27" s="53"/>
      <c r="K27" s="29" t="s">
        <v>367</v>
      </c>
    </row>
    <row r="28" spans="1:16" s="27" customFormat="1" ht="120" x14ac:dyDescent="0.15">
      <c r="A28" s="299"/>
      <c r="B28" s="293" t="s">
        <v>366</v>
      </c>
      <c r="C28" s="294"/>
      <c r="D28" s="23"/>
      <c r="E28" s="136">
        <v>5</v>
      </c>
      <c r="F28" s="30">
        <f>LOOKUP(E28,G28:G34,I28:I34)</f>
        <v>4</v>
      </c>
      <c r="G28" s="30">
        <v>1</v>
      </c>
      <c r="H28" s="23" t="s">
        <v>365</v>
      </c>
      <c r="I28" s="31">
        <v>10</v>
      </c>
      <c r="J28" s="55"/>
    </row>
    <row r="29" spans="1:16" s="27" customFormat="1" ht="150" x14ac:dyDescent="0.15">
      <c r="A29" s="299"/>
      <c r="B29" s="293" t="s">
        <v>364</v>
      </c>
      <c r="C29" s="294"/>
      <c r="D29" s="23"/>
      <c r="E29" s="23"/>
      <c r="F29" s="30"/>
      <c r="G29" s="30">
        <v>2</v>
      </c>
      <c r="H29" s="23" t="s">
        <v>363</v>
      </c>
      <c r="I29" s="31">
        <v>8</v>
      </c>
      <c r="J29" s="55"/>
      <c r="L29" s="29" t="s">
        <v>362</v>
      </c>
      <c r="O29" s="27">
        <v>6.5</v>
      </c>
      <c r="P29" s="27">
        <v>0.5</v>
      </c>
    </row>
    <row r="30" spans="1:16" s="27" customFormat="1" ht="105" x14ac:dyDescent="0.15">
      <c r="A30" s="299"/>
      <c r="B30" s="293" t="s">
        <v>361</v>
      </c>
      <c r="C30" s="294"/>
      <c r="D30" s="23"/>
      <c r="E30" s="23"/>
      <c r="F30" s="30"/>
      <c r="G30" s="30">
        <v>3</v>
      </c>
      <c r="H30" s="23" t="s">
        <v>360</v>
      </c>
      <c r="I30" s="31">
        <v>6</v>
      </c>
      <c r="J30" s="55"/>
      <c r="L30" s="29"/>
    </row>
    <row r="31" spans="1:16" s="27" customFormat="1" ht="195" x14ac:dyDescent="0.15">
      <c r="A31" s="299"/>
      <c r="B31" s="293" t="s">
        <v>359</v>
      </c>
      <c r="C31" s="294"/>
      <c r="D31" s="23"/>
      <c r="E31" s="23"/>
      <c r="F31" s="30"/>
      <c r="G31" s="30">
        <v>4</v>
      </c>
      <c r="H31" s="23" t="s">
        <v>358</v>
      </c>
      <c r="I31" s="31">
        <v>5</v>
      </c>
      <c r="J31" s="55"/>
      <c r="O31" s="27">
        <v>15</v>
      </c>
    </row>
    <row r="32" spans="1:16" s="27" customFormat="1" ht="165" x14ac:dyDescent="0.15">
      <c r="A32" s="57"/>
      <c r="B32" s="58"/>
      <c r="C32" s="55"/>
      <c r="D32" s="23"/>
      <c r="E32" s="23"/>
      <c r="F32" s="30"/>
      <c r="G32" s="30">
        <v>5</v>
      </c>
      <c r="H32" s="23" t="s">
        <v>357</v>
      </c>
      <c r="I32" s="31">
        <v>4</v>
      </c>
      <c r="J32" s="55"/>
    </row>
    <row r="33" spans="1:11" s="27" customFormat="1" ht="180" x14ac:dyDescent="0.15">
      <c r="A33" s="57"/>
      <c r="B33" s="58"/>
      <c r="C33" s="55"/>
      <c r="D33" s="23"/>
      <c r="E33" s="23"/>
      <c r="F33" s="30"/>
      <c r="G33" s="30">
        <v>6</v>
      </c>
      <c r="H33" s="23" t="s">
        <v>356</v>
      </c>
      <c r="I33" s="31">
        <v>2</v>
      </c>
      <c r="J33" s="55"/>
    </row>
    <row r="34" spans="1:11" s="27" customFormat="1" ht="180" x14ac:dyDescent="0.15">
      <c r="A34" s="57"/>
      <c r="B34" s="58"/>
      <c r="C34" s="55"/>
      <c r="D34" s="23"/>
      <c r="E34" s="23"/>
      <c r="F34" s="30"/>
      <c r="G34" s="30">
        <v>7</v>
      </c>
      <c r="H34" s="23" t="s">
        <v>355</v>
      </c>
      <c r="I34" s="31">
        <v>0</v>
      </c>
      <c r="J34" s="55"/>
    </row>
    <row r="35" spans="1:11" s="27" customFormat="1" ht="15.75" x14ac:dyDescent="0.15">
      <c r="A35" s="57"/>
      <c r="B35" s="58"/>
      <c r="C35" s="55"/>
      <c r="D35" s="23"/>
      <c r="E35" s="135" t="s">
        <v>210</v>
      </c>
      <c r="F35" s="47" t="s">
        <v>354</v>
      </c>
      <c r="G35" s="23"/>
      <c r="H35" s="23"/>
      <c r="I35" s="47"/>
      <c r="J35" s="55"/>
    </row>
    <row r="36" spans="1:11" s="27" customFormat="1" ht="15.75" x14ac:dyDescent="0.15">
      <c r="A36" s="57"/>
      <c r="B36" s="58"/>
      <c r="C36" s="55"/>
      <c r="D36" s="23"/>
      <c r="E36" s="288" t="s">
        <v>353</v>
      </c>
      <c r="F36" s="288"/>
      <c r="G36" s="23"/>
      <c r="H36" s="23"/>
      <c r="I36" s="47"/>
      <c r="J36" s="55"/>
    </row>
    <row r="37" spans="1:11" s="27" customFormat="1" ht="16.5" thickBot="1" x14ac:dyDescent="0.2">
      <c r="A37" s="57"/>
      <c r="B37" s="58"/>
      <c r="C37" s="55"/>
      <c r="D37" s="23"/>
      <c r="E37" s="134" t="s">
        <v>352</v>
      </c>
      <c r="F37" s="133" t="s">
        <v>351</v>
      </c>
      <c r="G37" s="23"/>
      <c r="H37" s="23" t="s">
        <v>350</v>
      </c>
      <c r="I37" s="47" t="str">
        <f>LOOKUP(H37,H38:H42,I38:I42)</f>
        <v>10</v>
      </c>
      <c r="J37" s="55"/>
    </row>
    <row r="38" spans="1:11" s="27" customFormat="1" ht="16.5" customHeight="1" x14ac:dyDescent="0.15">
      <c r="A38" s="298" t="s">
        <v>349</v>
      </c>
      <c r="B38" s="301" t="s">
        <v>348</v>
      </c>
      <c r="C38" s="302"/>
      <c r="D38" s="28"/>
      <c r="E38" s="132" t="s">
        <v>347</v>
      </c>
      <c r="F38" s="61" t="str">
        <f>VLOOKUP(E38,E39:F47,2,0)</f>
        <v>3</v>
      </c>
      <c r="G38" s="28"/>
      <c r="H38" s="23" t="s">
        <v>346</v>
      </c>
      <c r="I38" s="47" t="s">
        <v>300</v>
      </c>
      <c r="J38" s="53"/>
      <c r="K38" s="29" t="s">
        <v>345</v>
      </c>
    </row>
    <row r="39" spans="1:11" s="27" customFormat="1" ht="37.5" customHeight="1" x14ac:dyDescent="0.15">
      <c r="A39" s="299"/>
      <c r="B39" s="293" t="s">
        <v>344</v>
      </c>
      <c r="C39" s="294"/>
      <c r="D39" s="23" t="s">
        <v>312</v>
      </c>
      <c r="E39" s="23" t="s">
        <v>343</v>
      </c>
      <c r="F39" s="30">
        <v>10</v>
      </c>
      <c r="G39" s="23"/>
      <c r="H39" s="23" t="s">
        <v>342</v>
      </c>
      <c r="I39" s="47" t="s">
        <v>292</v>
      </c>
      <c r="J39" s="55"/>
    </row>
    <row r="40" spans="1:11" s="27" customFormat="1" ht="37.5" customHeight="1" x14ac:dyDescent="0.15">
      <c r="A40" s="299"/>
      <c r="B40" s="58"/>
      <c r="C40" s="55"/>
      <c r="D40" s="23" t="s">
        <v>341</v>
      </c>
      <c r="E40" s="23" t="s">
        <v>340</v>
      </c>
      <c r="F40" s="30" t="s">
        <v>292</v>
      </c>
      <c r="G40" s="23"/>
      <c r="H40" s="23" t="s">
        <v>339</v>
      </c>
      <c r="I40" s="47" t="s">
        <v>335</v>
      </c>
      <c r="J40" s="55"/>
    </row>
    <row r="41" spans="1:11" s="27" customFormat="1" ht="65.25" customHeight="1" x14ac:dyDescent="0.15">
      <c r="A41" s="299"/>
      <c r="B41" s="293" t="s">
        <v>338</v>
      </c>
      <c r="C41" s="294"/>
      <c r="D41" s="23" t="s">
        <v>337</v>
      </c>
      <c r="E41" s="23" t="s">
        <v>336</v>
      </c>
      <c r="F41" s="30" t="s">
        <v>335</v>
      </c>
      <c r="G41" s="23"/>
      <c r="H41" s="23" t="s">
        <v>334</v>
      </c>
      <c r="I41" s="47" t="s">
        <v>331</v>
      </c>
      <c r="J41" s="55"/>
    </row>
    <row r="42" spans="1:11" s="27" customFormat="1" ht="65.25" customHeight="1" x14ac:dyDescent="0.15">
      <c r="A42" s="299"/>
      <c r="B42" s="58"/>
      <c r="C42" s="55"/>
      <c r="D42" s="23" t="s">
        <v>333</v>
      </c>
      <c r="E42" s="23" t="s">
        <v>332</v>
      </c>
      <c r="F42" s="30" t="s">
        <v>331</v>
      </c>
      <c r="G42" s="23"/>
      <c r="H42" s="23" t="s">
        <v>330</v>
      </c>
      <c r="I42" s="47" t="s">
        <v>327</v>
      </c>
      <c r="J42" s="55"/>
    </row>
    <row r="43" spans="1:11" s="27" customFormat="1" ht="65.25" customHeight="1" x14ac:dyDescent="0.15">
      <c r="A43" s="299"/>
      <c r="B43" s="58"/>
      <c r="C43" s="55"/>
      <c r="D43" s="23" t="s">
        <v>329</v>
      </c>
      <c r="E43" s="23" t="s">
        <v>328</v>
      </c>
      <c r="F43" s="30" t="s">
        <v>327</v>
      </c>
      <c r="G43" s="23"/>
      <c r="H43" s="23"/>
      <c r="I43" s="47"/>
      <c r="J43" s="55"/>
    </row>
    <row r="44" spans="1:11" s="27" customFormat="1" ht="39.75" customHeight="1" x14ac:dyDescent="0.15">
      <c r="A44" s="299"/>
      <c r="B44" s="293" t="s">
        <v>326</v>
      </c>
      <c r="C44" s="294"/>
      <c r="D44" s="23" t="s">
        <v>325</v>
      </c>
      <c r="E44" s="23" t="s">
        <v>324</v>
      </c>
      <c r="F44" s="30" t="s">
        <v>323</v>
      </c>
      <c r="G44" s="23"/>
      <c r="H44" s="23"/>
      <c r="I44" s="47"/>
      <c r="J44" s="55"/>
    </row>
    <row r="45" spans="1:11" s="27" customFormat="1" ht="39.75" customHeight="1" x14ac:dyDescent="0.15">
      <c r="A45" s="299"/>
      <c r="B45" s="58"/>
      <c r="C45" s="55"/>
      <c r="D45" s="23" t="s">
        <v>322</v>
      </c>
      <c r="E45" s="23" t="s">
        <v>321</v>
      </c>
      <c r="F45" s="30" t="s">
        <v>320</v>
      </c>
      <c r="G45" s="23"/>
      <c r="H45" s="23"/>
      <c r="I45" s="47"/>
      <c r="J45" s="55"/>
    </row>
    <row r="46" spans="1:11" s="27" customFormat="1" ht="63.75" customHeight="1" thickBot="1" x14ac:dyDescent="0.2">
      <c r="A46" s="299"/>
      <c r="B46" s="293" t="s">
        <v>319</v>
      </c>
      <c r="C46" s="294"/>
      <c r="D46" s="23" t="s">
        <v>318</v>
      </c>
      <c r="E46" s="23" t="s">
        <v>317</v>
      </c>
      <c r="F46" s="30" t="s">
        <v>316</v>
      </c>
      <c r="G46" s="23"/>
      <c r="H46" s="23"/>
      <c r="I46" s="31"/>
      <c r="J46" s="55"/>
    </row>
    <row r="47" spans="1:11" s="27" customFormat="1" ht="15" customHeight="1" thickBot="1" x14ac:dyDescent="0.2">
      <c r="A47" s="299"/>
      <c r="B47" s="293" t="s">
        <v>315</v>
      </c>
      <c r="C47" s="294"/>
      <c r="D47" s="23" t="s">
        <v>314</v>
      </c>
      <c r="E47" s="23" t="s">
        <v>313</v>
      </c>
      <c r="F47" s="30" t="s">
        <v>312</v>
      </c>
      <c r="G47" s="23"/>
      <c r="H47" s="23"/>
      <c r="I47" s="131"/>
      <c r="J47" s="55"/>
    </row>
    <row r="48" spans="1:11" s="27" customFormat="1" ht="15.75" customHeight="1" x14ac:dyDescent="0.15">
      <c r="A48" s="298" t="s">
        <v>311</v>
      </c>
      <c r="B48" s="301" t="s">
        <v>310</v>
      </c>
      <c r="C48" s="302"/>
      <c r="D48" s="28"/>
      <c r="E48" s="23"/>
      <c r="F48" s="47"/>
      <c r="G48" s="28"/>
      <c r="H48" s="28"/>
      <c r="I48" s="129"/>
      <c r="J48" s="53"/>
    </row>
    <row r="49" spans="1:10" s="27" customFormat="1" ht="15" customHeight="1" x14ac:dyDescent="0.15">
      <c r="A49" s="299"/>
      <c r="B49" s="293" t="s">
        <v>309</v>
      </c>
      <c r="C49" s="294"/>
      <c r="D49" s="23"/>
      <c r="E49" s="23"/>
      <c r="F49" s="47"/>
      <c r="G49" s="23"/>
      <c r="H49" s="23"/>
      <c r="I49" s="129"/>
      <c r="J49" s="55"/>
    </row>
    <row r="50" spans="1:10" ht="15" customHeight="1" x14ac:dyDescent="0.15">
      <c r="A50" s="299"/>
      <c r="B50" s="293" t="s">
        <v>308</v>
      </c>
      <c r="C50" s="294"/>
      <c r="D50" s="23"/>
      <c r="E50" s="23"/>
      <c r="F50" s="47"/>
      <c r="G50" s="23"/>
      <c r="H50" s="23"/>
      <c r="I50" s="129"/>
      <c r="J50" s="55"/>
    </row>
    <row r="51" spans="1:10" ht="15" customHeight="1" x14ac:dyDescent="0.15">
      <c r="A51" s="299"/>
      <c r="B51" s="293" t="s">
        <v>307</v>
      </c>
      <c r="C51" s="294"/>
      <c r="D51" s="23"/>
      <c r="E51" s="23" t="s">
        <v>306</v>
      </c>
      <c r="F51" s="47" t="s">
        <v>300</v>
      </c>
      <c r="G51" s="23"/>
      <c r="H51" s="23"/>
      <c r="I51" s="129"/>
      <c r="J51" s="55"/>
    </row>
    <row r="52" spans="1:10" ht="15" customHeight="1" x14ac:dyDescent="0.15">
      <c r="A52" s="299"/>
      <c r="B52" s="293" t="s">
        <v>305</v>
      </c>
      <c r="C52" s="294"/>
      <c r="D52" s="290" t="s">
        <v>304</v>
      </c>
      <c r="E52" s="23" t="s">
        <v>303</v>
      </c>
      <c r="F52" s="47" t="s">
        <v>300</v>
      </c>
      <c r="G52" s="23"/>
      <c r="H52" s="23"/>
      <c r="I52" s="129"/>
      <c r="J52" s="55"/>
    </row>
    <row r="53" spans="1:10" ht="15" customHeight="1" x14ac:dyDescent="0.15">
      <c r="A53" s="299"/>
      <c r="B53" s="293" t="s">
        <v>302</v>
      </c>
      <c r="C53" s="294"/>
      <c r="D53" s="290"/>
      <c r="E53" s="23" t="s">
        <v>301</v>
      </c>
      <c r="F53" s="47" t="s">
        <v>300</v>
      </c>
      <c r="G53" s="23"/>
      <c r="H53" s="23"/>
      <c r="I53" s="129"/>
      <c r="J53" s="55"/>
    </row>
    <row r="54" spans="1:10" ht="15.75" customHeight="1" thickBot="1" x14ac:dyDescent="0.2">
      <c r="A54" s="300"/>
      <c r="B54" s="296" t="s">
        <v>299</v>
      </c>
      <c r="C54" s="297"/>
      <c r="D54" s="290"/>
      <c r="E54" s="23" t="s">
        <v>298</v>
      </c>
      <c r="F54" s="47" t="s">
        <v>292</v>
      </c>
      <c r="G54" s="23"/>
      <c r="H54" s="23"/>
      <c r="I54" s="129"/>
      <c r="J54" s="56"/>
    </row>
    <row r="55" spans="1:10" ht="45" x14ac:dyDescent="0.15">
      <c r="A55" s="23" t="s">
        <v>297</v>
      </c>
      <c r="B55" s="23"/>
      <c r="C55" s="23"/>
      <c r="D55" s="291" t="s">
        <v>296</v>
      </c>
      <c r="E55" s="23" t="s">
        <v>295</v>
      </c>
      <c r="F55" s="47" t="s">
        <v>292</v>
      </c>
      <c r="G55" s="23"/>
      <c r="H55" s="23"/>
      <c r="I55" s="131"/>
      <c r="J55" s="23"/>
    </row>
    <row r="56" spans="1:10" ht="15" customHeight="1" x14ac:dyDescent="0.15">
      <c r="A56" s="23" t="s">
        <v>294</v>
      </c>
      <c r="B56" s="23"/>
      <c r="C56" s="23"/>
      <c r="D56" s="291"/>
      <c r="E56" s="23" t="s">
        <v>293</v>
      </c>
      <c r="F56" s="49" t="s">
        <v>292</v>
      </c>
      <c r="G56" s="23"/>
      <c r="H56" s="23"/>
      <c r="I56" s="129"/>
      <c r="J56" s="23"/>
    </row>
    <row r="57" spans="1:10" ht="15.75" customHeight="1" x14ac:dyDescent="0.15">
      <c r="A57" s="22"/>
      <c r="B57" s="22"/>
      <c r="C57" s="22"/>
      <c r="D57" s="291"/>
      <c r="E57" s="40" t="s">
        <v>291</v>
      </c>
      <c r="F57" s="50">
        <v>8</v>
      </c>
      <c r="G57" s="22"/>
      <c r="H57" s="22"/>
      <c r="I57" s="129"/>
      <c r="J57" s="22"/>
    </row>
    <row r="58" spans="1:10" ht="15" customHeight="1" x14ac:dyDescent="0.15">
      <c r="B58" s="15"/>
      <c r="C58" s="26"/>
      <c r="D58" s="295" t="s">
        <v>290</v>
      </c>
      <c r="E58" s="41" t="s">
        <v>289</v>
      </c>
      <c r="F58" s="51"/>
      <c r="G58" s="26"/>
      <c r="H58" s="26"/>
      <c r="I58" s="129"/>
      <c r="J58" s="21"/>
    </row>
    <row r="59" spans="1:10" ht="15" customHeight="1" x14ac:dyDescent="0.15">
      <c r="A59" s="292"/>
      <c r="B59" s="292"/>
      <c r="C59" s="25"/>
      <c r="D59" s="295"/>
      <c r="E59" s="41" t="s">
        <v>285</v>
      </c>
      <c r="F59" s="51">
        <f>COUNT(E57:E73)</f>
        <v>0</v>
      </c>
      <c r="G59" s="25"/>
      <c r="H59" s="25"/>
      <c r="I59" s="129"/>
      <c r="J59" s="20"/>
    </row>
    <row r="60" spans="1:10" ht="80.45" customHeight="1" thickBot="1" x14ac:dyDescent="0.2">
      <c r="B60" s="15"/>
      <c r="C60" s="25"/>
      <c r="D60" s="295"/>
      <c r="E60" s="42" t="s">
        <v>288</v>
      </c>
      <c r="F60" s="52"/>
      <c r="G60" s="25"/>
      <c r="H60" s="25"/>
      <c r="I60" s="129"/>
      <c r="J60" s="20"/>
    </row>
    <row r="61" spans="1:10" x14ac:dyDescent="0.15">
      <c r="A61" s="292"/>
      <c r="B61" s="292"/>
      <c r="C61" s="18"/>
      <c r="D61" s="295"/>
      <c r="E61" s="42" t="s">
        <v>287</v>
      </c>
      <c r="F61" s="52"/>
      <c r="G61" s="18"/>
      <c r="H61" s="18"/>
      <c r="I61" s="131"/>
      <c r="J61" s="19"/>
    </row>
    <row r="62" spans="1:10" x14ac:dyDescent="0.15">
      <c r="A62" s="59"/>
      <c r="B62" s="59"/>
      <c r="C62" s="18"/>
      <c r="D62" s="295"/>
      <c r="E62" s="42" t="s">
        <v>286</v>
      </c>
      <c r="F62" s="52"/>
      <c r="G62" s="18"/>
      <c r="H62" s="18"/>
      <c r="I62" s="130"/>
      <c r="J62" s="19"/>
    </row>
    <row r="63" spans="1:10" x14ac:dyDescent="0.15">
      <c r="A63" s="59"/>
      <c r="B63" s="59"/>
      <c r="C63" s="18"/>
      <c r="D63" s="295"/>
      <c r="E63" s="42" t="s">
        <v>285</v>
      </c>
      <c r="F63" s="52"/>
      <c r="G63" s="18"/>
      <c r="H63" s="18"/>
      <c r="I63" s="130"/>
      <c r="J63" s="19"/>
    </row>
    <row r="64" spans="1:10" x14ac:dyDescent="0.15">
      <c r="A64" s="59"/>
      <c r="B64" s="59"/>
      <c r="C64" s="18"/>
      <c r="D64" s="295"/>
      <c r="E64" s="42" t="s">
        <v>284</v>
      </c>
      <c r="F64" s="52"/>
      <c r="G64" s="18"/>
      <c r="H64" s="18"/>
      <c r="I64" s="130"/>
      <c r="J64" s="19"/>
    </row>
    <row r="65" spans="1:10" x14ac:dyDescent="0.15">
      <c r="A65" s="59"/>
      <c r="B65" s="59"/>
      <c r="C65" s="18"/>
      <c r="D65" s="295"/>
      <c r="E65" s="42" t="s">
        <v>283</v>
      </c>
      <c r="F65" s="52"/>
      <c r="G65" s="18"/>
      <c r="H65" s="18"/>
      <c r="I65" s="130"/>
      <c r="J65" s="19"/>
    </row>
    <row r="66" spans="1:10" x14ac:dyDescent="0.15">
      <c r="A66" s="59"/>
      <c r="B66" s="59"/>
      <c r="C66" s="18"/>
      <c r="D66" s="295"/>
      <c r="E66" s="42" t="s">
        <v>282</v>
      </c>
      <c r="F66" s="52"/>
      <c r="G66" s="18"/>
      <c r="H66" s="18"/>
      <c r="I66" s="130"/>
      <c r="J66" s="19"/>
    </row>
    <row r="67" spans="1:10" x14ac:dyDescent="0.15">
      <c r="A67" s="59"/>
      <c r="B67" s="59"/>
      <c r="C67" s="18"/>
      <c r="D67" s="295"/>
      <c r="E67" s="42" t="s">
        <v>281</v>
      </c>
      <c r="F67" s="52"/>
      <c r="G67" s="18"/>
      <c r="H67" s="18"/>
      <c r="I67" s="130"/>
      <c r="J67" s="19"/>
    </row>
    <row r="68" spans="1:10" x14ac:dyDescent="0.15">
      <c r="A68" s="59"/>
      <c r="B68" s="59"/>
      <c r="C68" s="18"/>
      <c r="D68" s="295"/>
      <c r="E68" s="42" t="s">
        <v>280</v>
      </c>
      <c r="F68" s="52"/>
      <c r="G68" s="18"/>
      <c r="H68" s="18"/>
      <c r="I68" s="130"/>
      <c r="J68" s="19"/>
    </row>
    <row r="69" spans="1:10" x14ac:dyDescent="0.15">
      <c r="A69" s="59"/>
      <c r="B69" s="59"/>
      <c r="C69" s="18"/>
      <c r="D69" s="295"/>
      <c r="E69" s="42" t="s">
        <v>279</v>
      </c>
      <c r="F69" s="52"/>
      <c r="G69" s="18"/>
      <c r="H69" s="18"/>
      <c r="I69" s="130"/>
      <c r="J69" s="19"/>
    </row>
    <row r="70" spans="1:10" x14ac:dyDescent="0.15">
      <c r="A70" s="59"/>
      <c r="B70" s="59"/>
      <c r="C70" s="18"/>
      <c r="D70" s="295"/>
      <c r="E70" s="42" t="s">
        <v>278</v>
      </c>
      <c r="F70" s="52"/>
      <c r="G70" s="18"/>
      <c r="H70" s="18"/>
      <c r="I70" s="130"/>
      <c r="J70" s="19"/>
    </row>
    <row r="71" spans="1:10" x14ac:dyDescent="0.15">
      <c r="A71" s="59"/>
      <c r="B71" s="59"/>
      <c r="C71" s="18"/>
      <c r="D71" s="295"/>
      <c r="E71" s="42" t="s">
        <v>277</v>
      </c>
      <c r="F71" s="52"/>
      <c r="G71" s="18"/>
      <c r="H71" s="18"/>
      <c r="I71" s="130"/>
      <c r="J71" s="19"/>
    </row>
    <row r="72" spans="1:10" x14ac:dyDescent="0.15">
      <c r="A72" s="59"/>
      <c r="B72" s="59"/>
      <c r="C72" s="18"/>
      <c r="D72" s="295"/>
      <c r="E72" s="42" t="s">
        <v>276</v>
      </c>
      <c r="F72" s="52"/>
      <c r="G72" s="18"/>
      <c r="H72" s="18"/>
      <c r="I72" s="130"/>
      <c r="J72" s="19"/>
    </row>
    <row r="73" spans="1:10" x14ac:dyDescent="0.15">
      <c r="A73" s="59"/>
      <c r="B73" s="59"/>
      <c r="C73" s="18"/>
      <c r="D73" s="295"/>
      <c r="E73" s="42" t="s">
        <v>275</v>
      </c>
      <c r="F73" s="52"/>
      <c r="G73" s="18"/>
      <c r="H73" s="18"/>
      <c r="I73" s="130"/>
      <c r="J73" s="19"/>
    </row>
    <row r="74" spans="1:10" x14ac:dyDescent="0.15">
      <c r="A74" s="59"/>
      <c r="B74" s="59"/>
      <c r="C74" s="18"/>
      <c r="D74" s="295"/>
      <c r="E74" s="42" t="s">
        <v>274</v>
      </c>
      <c r="F74" s="52"/>
      <c r="G74" s="18"/>
      <c r="H74" s="18"/>
      <c r="I74" s="130"/>
      <c r="J74" s="19"/>
    </row>
    <row r="75" spans="1:10" x14ac:dyDescent="0.15">
      <c r="A75" s="59"/>
      <c r="B75" s="59"/>
      <c r="C75" s="18"/>
      <c r="D75" s="289" t="s">
        <v>273</v>
      </c>
      <c r="E75" s="42" t="s">
        <v>272</v>
      </c>
      <c r="F75" s="52"/>
      <c r="G75" s="18"/>
      <c r="H75" s="18"/>
      <c r="I75" s="130"/>
      <c r="J75" s="19"/>
    </row>
    <row r="76" spans="1:10" x14ac:dyDescent="0.15">
      <c r="A76" s="59"/>
      <c r="B76" s="59"/>
      <c r="C76" s="18"/>
      <c r="D76" s="289"/>
      <c r="E76" s="42" t="s">
        <v>271</v>
      </c>
      <c r="F76" s="52"/>
      <c r="G76" s="18"/>
      <c r="H76" s="18"/>
      <c r="I76" s="130"/>
      <c r="J76" s="19"/>
    </row>
    <row r="77" spans="1:10" x14ac:dyDescent="0.15">
      <c r="A77" s="59"/>
      <c r="B77" s="59"/>
      <c r="C77" s="18"/>
      <c r="D77" s="289"/>
      <c r="E77" s="42" t="s">
        <v>270</v>
      </c>
      <c r="F77" s="52"/>
      <c r="G77" s="18"/>
      <c r="H77" s="18"/>
      <c r="I77" s="130"/>
      <c r="J77" s="19"/>
    </row>
    <row r="78" spans="1:10" x14ac:dyDescent="0.15">
      <c r="A78" s="59"/>
      <c r="B78" s="59"/>
      <c r="C78" s="18"/>
      <c r="D78" s="289"/>
      <c r="E78" s="42"/>
      <c r="F78" s="52"/>
      <c r="G78" s="18"/>
      <c r="H78" s="18"/>
      <c r="I78" s="130"/>
      <c r="J78" s="19"/>
    </row>
    <row r="79" spans="1:10" x14ac:dyDescent="0.15">
      <c r="A79" s="59"/>
      <c r="B79" s="59"/>
      <c r="C79" s="18"/>
      <c r="D79" s="18"/>
      <c r="E79" s="42"/>
      <c r="F79" s="52"/>
      <c r="G79" s="18"/>
      <c r="H79" s="18"/>
      <c r="I79" s="130"/>
      <c r="J79" s="19"/>
    </row>
    <row r="80" spans="1:10" x14ac:dyDescent="0.15">
      <c r="A80" s="59"/>
      <c r="B80" s="59"/>
      <c r="C80" s="18"/>
      <c r="D80" s="18"/>
      <c r="E80" s="17" t="s">
        <v>269</v>
      </c>
      <c r="G80" s="18"/>
      <c r="H80" s="18"/>
      <c r="I80" s="130"/>
      <c r="J80" s="19"/>
    </row>
    <row r="81" spans="2:9" x14ac:dyDescent="0.15">
      <c r="B81" s="18"/>
      <c r="E81" s="17">
        <v>0.25</v>
      </c>
      <c r="I81" s="129"/>
    </row>
    <row r="82" spans="2:9" ht="15.75" x14ac:dyDescent="0.15">
      <c r="C82" s="24" t="s">
        <v>129</v>
      </c>
      <c r="D82" s="24"/>
      <c r="E82" s="17">
        <v>0.5</v>
      </c>
      <c r="I82" s="129"/>
    </row>
    <row r="83" spans="2:9" x14ac:dyDescent="0.15">
      <c r="C83" s="17" t="s">
        <v>128</v>
      </c>
      <c r="D83" s="17"/>
      <c r="E83" s="17">
        <v>0.15</v>
      </c>
      <c r="I83" s="129"/>
    </row>
    <row r="84" spans="2:9" x14ac:dyDescent="0.15">
      <c r="C84" s="16" t="s">
        <v>268</v>
      </c>
      <c r="E84" s="17">
        <v>0.1</v>
      </c>
      <c r="I84" s="129"/>
    </row>
    <row r="85" spans="2:9" x14ac:dyDescent="0.15">
      <c r="C85" s="16" t="s">
        <v>267</v>
      </c>
      <c r="I85" s="129"/>
    </row>
    <row r="86" spans="2:9" ht="15.75" thickBot="1" x14ac:dyDescent="0.2">
      <c r="I86" s="128"/>
    </row>
    <row r="87" spans="2:9" x14ac:dyDescent="0.15">
      <c r="I87" s="47"/>
    </row>
    <row r="88" spans="2:9" x14ac:dyDescent="0.15">
      <c r="I88" s="47"/>
    </row>
    <row r="89" spans="2:9" ht="15.75" x14ac:dyDescent="0.15">
      <c r="I89" s="49"/>
    </row>
    <row r="90" spans="2:9" x14ac:dyDescent="0.15">
      <c r="I90" s="126"/>
    </row>
    <row r="91" spans="2:9" x14ac:dyDescent="0.15">
      <c r="I91" s="127"/>
    </row>
    <row r="92" spans="2:9" x14ac:dyDescent="0.15">
      <c r="I92" s="127"/>
    </row>
    <row r="93" spans="2:9" x14ac:dyDescent="0.15">
      <c r="I93" s="126"/>
    </row>
    <row r="94" spans="2:9" x14ac:dyDescent="0.15">
      <c r="I94" s="52"/>
    </row>
  </sheetData>
  <mergeCells count="36">
    <mergeCell ref="A1:B1"/>
    <mergeCell ref="B3:C3"/>
    <mergeCell ref="I3:J3"/>
    <mergeCell ref="A4:A26"/>
    <mergeCell ref="B4:C4"/>
    <mergeCell ref="B5:C5"/>
    <mergeCell ref="B6:C6"/>
    <mergeCell ref="B26:C26"/>
    <mergeCell ref="A27:A31"/>
    <mergeCell ref="B27:C27"/>
    <mergeCell ref="B28:C28"/>
    <mergeCell ref="B30:C30"/>
    <mergeCell ref="B29:C29"/>
    <mergeCell ref="B31:C31"/>
    <mergeCell ref="B41:C41"/>
    <mergeCell ref="B44:C44"/>
    <mergeCell ref="A38:A47"/>
    <mergeCell ref="B38:C38"/>
    <mergeCell ref="B39:C39"/>
    <mergeCell ref="B47:C47"/>
    <mergeCell ref="E36:F36"/>
    <mergeCell ref="D75:D78"/>
    <mergeCell ref="D52:D54"/>
    <mergeCell ref="D55:D57"/>
    <mergeCell ref="A59:B59"/>
    <mergeCell ref="B49:C49"/>
    <mergeCell ref="B50:C50"/>
    <mergeCell ref="D58:D74"/>
    <mergeCell ref="A61:B61"/>
    <mergeCell ref="B53:C53"/>
    <mergeCell ref="B54:C54"/>
    <mergeCell ref="A48:A54"/>
    <mergeCell ref="B48:C48"/>
    <mergeCell ref="B51:C51"/>
    <mergeCell ref="B52:C52"/>
    <mergeCell ref="B46:C46"/>
  </mergeCells>
  <phoneticPr fontId="1" type="noConversion"/>
  <dataValidations count="4">
    <dataValidation type="list" allowBlank="1" showInputMessage="1" showErrorMessage="1" sqref="H37 JD37 SZ37 ACV37 AMR37 AWN37 BGJ37 BQF37 CAB37 CJX37 CTT37 DDP37 DNL37 DXH37 EHD37 EQZ37 FAV37 FKR37 FUN37 GEJ37 GOF37 GYB37 HHX37 HRT37 IBP37 ILL37 IVH37 JFD37 JOZ37 JYV37 KIR37 KSN37 LCJ37 LMF37 LWB37 MFX37 MPT37 MZP37 NJL37 NTH37 ODD37 OMZ37 OWV37 PGR37 PQN37 QAJ37 QKF37 QUB37 RDX37 RNT37 RXP37 SHL37 SRH37 TBD37 TKZ37 TUV37 UER37 UON37 UYJ37 VIF37 VSB37 WBX37 WLT37 WVP37 H65573 JD65573 SZ65573 ACV65573 AMR65573 AWN65573 BGJ65573 BQF65573 CAB65573 CJX65573 CTT65573 DDP65573 DNL65573 DXH65573 EHD65573 EQZ65573 FAV65573 FKR65573 FUN65573 GEJ65573 GOF65573 GYB65573 HHX65573 HRT65573 IBP65573 ILL65573 IVH65573 JFD65573 JOZ65573 JYV65573 KIR65573 KSN65573 LCJ65573 LMF65573 LWB65573 MFX65573 MPT65573 MZP65573 NJL65573 NTH65573 ODD65573 OMZ65573 OWV65573 PGR65573 PQN65573 QAJ65573 QKF65573 QUB65573 RDX65573 RNT65573 RXP65573 SHL65573 SRH65573 TBD65573 TKZ65573 TUV65573 UER65573 UON65573 UYJ65573 VIF65573 VSB65573 WBX65573 WLT65573 WVP65573 H131109 JD131109 SZ131109 ACV131109 AMR131109 AWN131109 BGJ131109 BQF131109 CAB131109 CJX131109 CTT131109 DDP131109 DNL131109 DXH131109 EHD131109 EQZ131109 FAV131109 FKR131109 FUN131109 GEJ131109 GOF131109 GYB131109 HHX131109 HRT131109 IBP131109 ILL131109 IVH131109 JFD131109 JOZ131109 JYV131109 KIR131109 KSN131109 LCJ131109 LMF131109 LWB131109 MFX131109 MPT131109 MZP131109 NJL131109 NTH131109 ODD131109 OMZ131109 OWV131109 PGR131109 PQN131109 QAJ131109 QKF131109 QUB131109 RDX131109 RNT131109 RXP131109 SHL131109 SRH131109 TBD131109 TKZ131109 TUV131109 UER131109 UON131109 UYJ131109 VIF131109 VSB131109 WBX131109 WLT131109 WVP131109 H196645 JD196645 SZ196645 ACV196645 AMR196645 AWN196645 BGJ196645 BQF196645 CAB196645 CJX196645 CTT196645 DDP196645 DNL196645 DXH196645 EHD196645 EQZ196645 FAV196645 FKR196645 FUN196645 GEJ196645 GOF196645 GYB196645 HHX196645 HRT196645 IBP196645 ILL196645 IVH196645 JFD196645 JOZ196645 JYV196645 KIR196645 KSN196645 LCJ196645 LMF196645 LWB196645 MFX196645 MPT196645 MZP196645 NJL196645 NTH196645 ODD196645 OMZ196645 OWV196645 PGR196645 PQN196645 QAJ196645 QKF196645 QUB196645 RDX196645 RNT196645 RXP196645 SHL196645 SRH196645 TBD196645 TKZ196645 TUV196645 UER196645 UON196645 UYJ196645 VIF196645 VSB196645 WBX196645 WLT196645 WVP196645 H262181 JD262181 SZ262181 ACV262181 AMR262181 AWN262181 BGJ262181 BQF262181 CAB262181 CJX262181 CTT262181 DDP262181 DNL262181 DXH262181 EHD262181 EQZ262181 FAV262181 FKR262181 FUN262181 GEJ262181 GOF262181 GYB262181 HHX262181 HRT262181 IBP262181 ILL262181 IVH262181 JFD262181 JOZ262181 JYV262181 KIR262181 KSN262181 LCJ262181 LMF262181 LWB262181 MFX262181 MPT262181 MZP262181 NJL262181 NTH262181 ODD262181 OMZ262181 OWV262181 PGR262181 PQN262181 QAJ262181 QKF262181 QUB262181 RDX262181 RNT262181 RXP262181 SHL262181 SRH262181 TBD262181 TKZ262181 TUV262181 UER262181 UON262181 UYJ262181 VIF262181 VSB262181 WBX262181 WLT262181 WVP262181 H327717 JD327717 SZ327717 ACV327717 AMR327717 AWN327717 BGJ327717 BQF327717 CAB327717 CJX327717 CTT327717 DDP327717 DNL327717 DXH327717 EHD327717 EQZ327717 FAV327717 FKR327717 FUN327717 GEJ327717 GOF327717 GYB327717 HHX327717 HRT327717 IBP327717 ILL327717 IVH327717 JFD327717 JOZ327717 JYV327717 KIR327717 KSN327717 LCJ327717 LMF327717 LWB327717 MFX327717 MPT327717 MZP327717 NJL327717 NTH327717 ODD327717 OMZ327717 OWV327717 PGR327717 PQN327717 QAJ327717 QKF327717 QUB327717 RDX327717 RNT327717 RXP327717 SHL327717 SRH327717 TBD327717 TKZ327717 TUV327717 UER327717 UON327717 UYJ327717 VIF327717 VSB327717 WBX327717 WLT327717 WVP327717 H393253 JD393253 SZ393253 ACV393253 AMR393253 AWN393253 BGJ393253 BQF393253 CAB393253 CJX393253 CTT393253 DDP393253 DNL393253 DXH393253 EHD393253 EQZ393253 FAV393253 FKR393253 FUN393253 GEJ393253 GOF393253 GYB393253 HHX393253 HRT393253 IBP393253 ILL393253 IVH393253 JFD393253 JOZ393253 JYV393253 KIR393253 KSN393253 LCJ393253 LMF393253 LWB393253 MFX393253 MPT393253 MZP393253 NJL393253 NTH393253 ODD393253 OMZ393253 OWV393253 PGR393253 PQN393253 QAJ393253 QKF393253 QUB393253 RDX393253 RNT393253 RXP393253 SHL393253 SRH393253 TBD393253 TKZ393253 TUV393253 UER393253 UON393253 UYJ393253 VIF393253 VSB393253 WBX393253 WLT393253 WVP393253 H458789 JD458789 SZ458789 ACV458789 AMR458789 AWN458789 BGJ458789 BQF458789 CAB458789 CJX458789 CTT458789 DDP458789 DNL458789 DXH458789 EHD458789 EQZ458789 FAV458789 FKR458789 FUN458789 GEJ458789 GOF458789 GYB458789 HHX458789 HRT458789 IBP458789 ILL458789 IVH458789 JFD458789 JOZ458789 JYV458789 KIR458789 KSN458789 LCJ458789 LMF458789 LWB458789 MFX458789 MPT458789 MZP458789 NJL458789 NTH458789 ODD458789 OMZ458789 OWV458789 PGR458789 PQN458789 QAJ458789 QKF458789 QUB458789 RDX458789 RNT458789 RXP458789 SHL458789 SRH458789 TBD458789 TKZ458789 TUV458789 UER458789 UON458789 UYJ458789 VIF458789 VSB458789 WBX458789 WLT458789 WVP458789 H524325 JD524325 SZ524325 ACV524325 AMR524325 AWN524325 BGJ524325 BQF524325 CAB524325 CJX524325 CTT524325 DDP524325 DNL524325 DXH524325 EHD524325 EQZ524325 FAV524325 FKR524325 FUN524325 GEJ524325 GOF524325 GYB524325 HHX524325 HRT524325 IBP524325 ILL524325 IVH524325 JFD524325 JOZ524325 JYV524325 KIR524325 KSN524325 LCJ524325 LMF524325 LWB524325 MFX524325 MPT524325 MZP524325 NJL524325 NTH524325 ODD524325 OMZ524325 OWV524325 PGR524325 PQN524325 QAJ524325 QKF524325 QUB524325 RDX524325 RNT524325 RXP524325 SHL524325 SRH524325 TBD524325 TKZ524325 TUV524325 UER524325 UON524325 UYJ524325 VIF524325 VSB524325 WBX524325 WLT524325 WVP524325 H589861 JD589861 SZ589861 ACV589861 AMR589861 AWN589861 BGJ589861 BQF589861 CAB589861 CJX589861 CTT589861 DDP589861 DNL589861 DXH589861 EHD589861 EQZ589861 FAV589861 FKR589861 FUN589861 GEJ589861 GOF589861 GYB589861 HHX589861 HRT589861 IBP589861 ILL589861 IVH589861 JFD589861 JOZ589861 JYV589861 KIR589861 KSN589861 LCJ589861 LMF589861 LWB589861 MFX589861 MPT589861 MZP589861 NJL589861 NTH589861 ODD589861 OMZ589861 OWV589861 PGR589861 PQN589861 QAJ589861 QKF589861 QUB589861 RDX589861 RNT589861 RXP589861 SHL589861 SRH589861 TBD589861 TKZ589861 TUV589861 UER589861 UON589861 UYJ589861 VIF589861 VSB589861 WBX589861 WLT589861 WVP589861 H655397 JD655397 SZ655397 ACV655397 AMR655397 AWN655397 BGJ655397 BQF655397 CAB655397 CJX655397 CTT655397 DDP655397 DNL655397 DXH655397 EHD655397 EQZ655397 FAV655397 FKR655397 FUN655397 GEJ655397 GOF655397 GYB655397 HHX655397 HRT655397 IBP655397 ILL655397 IVH655397 JFD655397 JOZ655397 JYV655397 KIR655397 KSN655397 LCJ655397 LMF655397 LWB655397 MFX655397 MPT655397 MZP655397 NJL655397 NTH655397 ODD655397 OMZ655397 OWV655397 PGR655397 PQN655397 QAJ655397 QKF655397 QUB655397 RDX655397 RNT655397 RXP655397 SHL655397 SRH655397 TBD655397 TKZ655397 TUV655397 UER655397 UON655397 UYJ655397 VIF655397 VSB655397 WBX655397 WLT655397 WVP655397 H720933 JD720933 SZ720933 ACV720933 AMR720933 AWN720933 BGJ720933 BQF720933 CAB720933 CJX720933 CTT720933 DDP720933 DNL720933 DXH720933 EHD720933 EQZ720933 FAV720933 FKR720933 FUN720933 GEJ720933 GOF720933 GYB720933 HHX720933 HRT720933 IBP720933 ILL720933 IVH720933 JFD720933 JOZ720933 JYV720933 KIR720933 KSN720933 LCJ720933 LMF720933 LWB720933 MFX720933 MPT720933 MZP720933 NJL720933 NTH720933 ODD720933 OMZ720933 OWV720933 PGR720933 PQN720933 QAJ720933 QKF720933 QUB720933 RDX720933 RNT720933 RXP720933 SHL720933 SRH720933 TBD720933 TKZ720933 TUV720933 UER720933 UON720933 UYJ720933 VIF720933 VSB720933 WBX720933 WLT720933 WVP720933 H786469 JD786469 SZ786469 ACV786469 AMR786469 AWN786469 BGJ786469 BQF786469 CAB786469 CJX786469 CTT786469 DDP786469 DNL786469 DXH786469 EHD786469 EQZ786469 FAV786469 FKR786469 FUN786469 GEJ786469 GOF786469 GYB786469 HHX786469 HRT786469 IBP786469 ILL786469 IVH786469 JFD786469 JOZ786469 JYV786469 KIR786469 KSN786469 LCJ786469 LMF786469 LWB786469 MFX786469 MPT786469 MZP786469 NJL786469 NTH786469 ODD786469 OMZ786469 OWV786469 PGR786469 PQN786469 QAJ786469 QKF786469 QUB786469 RDX786469 RNT786469 RXP786469 SHL786469 SRH786469 TBD786469 TKZ786469 TUV786469 UER786469 UON786469 UYJ786469 VIF786469 VSB786469 WBX786469 WLT786469 WVP786469 H852005 JD852005 SZ852005 ACV852005 AMR852005 AWN852005 BGJ852005 BQF852005 CAB852005 CJX852005 CTT852005 DDP852005 DNL852005 DXH852005 EHD852005 EQZ852005 FAV852005 FKR852005 FUN852005 GEJ852005 GOF852005 GYB852005 HHX852005 HRT852005 IBP852005 ILL852005 IVH852005 JFD852005 JOZ852005 JYV852005 KIR852005 KSN852005 LCJ852005 LMF852005 LWB852005 MFX852005 MPT852005 MZP852005 NJL852005 NTH852005 ODD852005 OMZ852005 OWV852005 PGR852005 PQN852005 QAJ852005 QKF852005 QUB852005 RDX852005 RNT852005 RXP852005 SHL852005 SRH852005 TBD852005 TKZ852005 TUV852005 UER852005 UON852005 UYJ852005 VIF852005 VSB852005 WBX852005 WLT852005 WVP852005 H917541 JD917541 SZ917541 ACV917541 AMR917541 AWN917541 BGJ917541 BQF917541 CAB917541 CJX917541 CTT917541 DDP917541 DNL917541 DXH917541 EHD917541 EQZ917541 FAV917541 FKR917541 FUN917541 GEJ917541 GOF917541 GYB917541 HHX917541 HRT917541 IBP917541 ILL917541 IVH917541 JFD917541 JOZ917541 JYV917541 KIR917541 KSN917541 LCJ917541 LMF917541 LWB917541 MFX917541 MPT917541 MZP917541 NJL917541 NTH917541 ODD917541 OMZ917541 OWV917541 PGR917541 PQN917541 QAJ917541 QKF917541 QUB917541 RDX917541 RNT917541 RXP917541 SHL917541 SRH917541 TBD917541 TKZ917541 TUV917541 UER917541 UON917541 UYJ917541 VIF917541 VSB917541 WBX917541 WLT917541 WVP917541 H983077 JD983077 SZ983077 ACV983077 AMR983077 AWN983077 BGJ983077 BQF983077 CAB983077 CJX983077 CTT983077 DDP983077 DNL983077 DXH983077 EHD983077 EQZ983077 FAV983077 FKR983077 FUN983077 GEJ983077 GOF983077 GYB983077 HHX983077 HRT983077 IBP983077 ILL983077 IVH983077 JFD983077 JOZ983077 JYV983077 KIR983077 KSN983077 LCJ983077 LMF983077 LWB983077 MFX983077 MPT983077 MZP983077 NJL983077 NTH983077 ODD983077 OMZ983077 OWV983077 PGR983077 PQN983077 QAJ983077 QKF983077 QUB983077 RDX983077 RNT983077 RXP983077 SHL983077 SRH983077 TBD983077 TKZ983077 TUV983077 UER983077 UON983077 UYJ983077 VIF983077 VSB983077 WBX983077 WLT983077 WVP983077">
      <formula1>$H$38:$H$42</formula1>
    </dataValidation>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22"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
  <sheetViews>
    <sheetView workbookViewId="0">
      <selection activeCell="C3" sqref="C3"/>
    </sheetView>
  </sheetViews>
  <sheetFormatPr defaultRowHeight="13.5" x14ac:dyDescent="0.15"/>
  <cols>
    <col min="1" max="1" width="24.625" customWidth="1"/>
    <col min="2" max="2" width="31.875" customWidth="1"/>
    <col min="3" max="3" width="20.375" customWidth="1"/>
    <col min="4" max="4" width="21.75" customWidth="1"/>
    <col min="6" max="6" width="16.75" customWidth="1"/>
    <col min="7" max="7" width="20.5" customWidth="1"/>
  </cols>
  <sheetData>
    <row r="1" spans="1:9" x14ac:dyDescent="0.15">
      <c r="A1" t="s">
        <v>684</v>
      </c>
      <c r="B1" t="s">
        <v>685</v>
      </c>
      <c r="C1" t="s">
        <v>726</v>
      </c>
      <c r="D1" t="s">
        <v>727</v>
      </c>
      <c r="E1" t="s">
        <v>728</v>
      </c>
      <c r="F1" t="s">
        <v>729</v>
      </c>
      <c r="G1" t="s">
        <v>730</v>
      </c>
      <c r="H1" t="s">
        <v>731</v>
      </c>
      <c r="I1" t="s">
        <v>732</v>
      </c>
    </row>
    <row r="2" spans="1:9" x14ac:dyDescent="0.15">
      <c r="A2">
        <v>20200015</v>
      </c>
      <c r="B2" t="s">
        <v>683</v>
      </c>
      <c r="C2">
        <v>213249.65</v>
      </c>
      <c r="D2">
        <v>213249.65</v>
      </c>
      <c r="E2">
        <v>0</v>
      </c>
      <c r="F2">
        <v>0</v>
      </c>
      <c r="G2">
        <v>0</v>
      </c>
      <c r="H2">
        <v>0</v>
      </c>
      <c r="I2" t="s">
        <v>733</v>
      </c>
    </row>
    <row r="3" spans="1:9" x14ac:dyDescent="0.15">
      <c r="A3" t="s">
        <v>686</v>
      </c>
      <c r="B3" s="259"/>
      <c r="C3">
        <f>SUM(C2:C2)</f>
        <v>213249.65</v>
      </c>
      <c r="D3">
        <f>SUM(D2:D2)</f>
        <v>213249.65</v>
      </c>
      <c r="E3">
        <f>SUM(E2:E2)</f>
        <v>0</v>
      </c>
      <c r="F3">
        <f>SUM(F2:F2)</f>
        <v>0</v>
      </c>
      <c r="G3">
        <f>SUM(G2:G2)</f>
        <v>0</v>
      </c>
      <c r="H3">
        <f>SUM(H2:H2)</f>
        <v>0</v>
      </c>
    </row>
    <row r="4" spans="1:9" x14ac:dyDescent="0.15">
      <c r="A4" t="s">
        <v>737</v>
      </c>
      <c r="B4" s="259">
        <v>41790</v>
      </c>
    </row>
    <row r="5" spans="1:9" x14ac:dyDescent="0.15">
      <c r="A5" t="s">
        <v>738</v>
      </c>
      <c r="B5" s="259" t="s">
        <v>767</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55"/>
  <sheetViews>
    <sheetView topLeftCell="B34" workbookViewId="0">
      <selection activeCell="C41" sqref="C41:C44"/>
    </sheetView>
  </sheetViews>
  <sheetFormatPr defaultRowHeight="13.5" x14ac:dyDescent="0.15"/>
  <cols>
    <col min="1" max="1" width="9" customWidth="1"/>
    <col min="3" max="3" width="40.875" customWidth="1"/>
    <col min="4" max="4" width="36.375" customWidth="1"/>
    <col min="5" max="5" width="21.875" customWidth="1"/>
    <col min="11" max="11" width="15.625" customWidth="1"/>
    <col min="12" max="12" width="14.25" customWidth="1"/>
    <col min="14" max="14" width="13.5" customWidth="1"/>
    <col min="15" max="15" width="26.875" customWidth="1"/>
  </cols>
  <sheetData>
    <row r="1" spans="1:15" ht="30.75" customHeight="1" thickBot="1" x14ac:dyDescent="0.2">
      <c r="A1" s="363" t="s">
        <v>577</v>
      </c>
      <c r="B1" s="363" t="s">
        <v>578</v>
      </c>
      <c r="C1" s="366" t="s">
        <v>579</v>
      </c>
      <c r="D1" s="367"/>
      <c r="E1" s="368"/>
      <c r="F1" s="372" t="s">
        <v>580</v>
      </c>
      <c r="G1" s="373"/>
      <c r="H1" s="363" t="s">
        <v>581</v>
      </c>
      <c r="I1" s="194" t="s">
        <v>582</v>
      </c>
      <c r="K1" s="310" t="s">
        <v>701</v>
      </c>
      <c r="L1" s="311"/>
      <c r="N1" s="264" t="s">
        <v>739</v>
      </c>
      <c r="O1" s="265" t="s">
        <v>740</v>
      </c>
    </row>
    <row r="2" spans="1:15" ht="21" customHeight="1" thickBot="1" x14ac:dyDescent="0.2">
      <c r="A2" s="364"/>
      <c r="B2" s="365"/>
      <c r="C2" s="369"/>
      <c r="D2" s="370"/>
      <c r="E2" s="371"/>
      <c r="F2" s="195" t="s">
        <v>584</v>
      </c>
      <c r="G2" s="184" t="s">
        <v>585</v>
      </c>
      <c r="H2" s="374"/>
      <c r="I2" s="193" t="s">
        <v>583</v>
      </c>
      <c r="K2" s="254" t="s">
        <v>708</v>
      </c>
      <c r="L2" s="252" t="s">
        <v>704</v>
      </c>
      <c r="N2" s="260" t="s">
        <v>741</v>
      </c>
      <c r="O2" s="262" t="s">
        <v>742</v>
      </c>
    </row>
    <row r="3" spans="1:15" ht="16.5" customHeight="1" x14ac:dyDescent="0.15">
      <c r="A3" s="312" t="s">
        <v>586</v>
      </c>
      <c r="B3" s="315">
        <v>0.25</v>
      </c>
      <c r="C3" s="215" t="s">
        <v>666</v>
      </c>
      <c r="D3" s="317" t="s">
        <v>660</v>
      </c>
      <c r="E3" s="318"/>
      <c r="F3" s="337">
        <v>1</v>
      </c>
      <c r="G3" s="378" t="s">
        <v>588</v>
      </c>
      <c r="H3" s="327" t="s">
        <v>589</v>
      </c>
      <c r="I3" s="330" t="s">
        <v>653</v>
      </c>
      <c r="K3" s="254" t="s">
        <v>709</v>
      </c>
      <c r="L3" s="252" t="s">
        <v>705</v>
      </c>
      <c r="N3" s="260" t="s">
        <v>743</v>
      </c>
      <c r="O3" s="262" t="s">
        <v>744</v>
      </c>
    </row>
    <row r="4" spans="1:15" ht="16.5" customHeight="1" x14ac:dyDescent="0.15">
      <c r="A4" s="313"/>
      <c r="B4" s="315"/>
      <c r="C4" s="191" t="s">
        <v>659</v>
      </c>
      <c r="D4" s="319">
        <v>10</v>
      </c>
      <c r="E4" s="320"/>
      <c r="F4" s="338"/>
      <c r="G4" s="328"/>
      <c r="H4" s="328"/>
      <c r="I4" s="330"/>
      <c r="K4" s="254" t="s">
        <v>710</v>
      </c>
      <c r="L4" s="252" t="s">
        <v>706</v>
      </c>
      <c r="N4" s="260" t="s">
        <v>745</v>
      </c>
      <c r="O4" s="262" t="s">
        <v>746</v>
      </c>
    </row>
    <row r="5" spans="1:15" ht="16.5" x14ac:dyDescent="0.15">
      <c r="A5" s="313"/>
      <c r="B5" s="315"/>
      <c r="C5" s="210" t="s">
        <v>661</v>
      </c>
      <c r="D5" s="321">
        <v>8</v>
      </c>
      <c r="E5" s="322"/>
      <c r="F5" s="338"/>
      <c r="G5" s="328"/>
      <c r="H5" s="328"/>
      <c r="I5" s="330"/>
      <c r="K5" s="254" t="s">
        <v>711</v>
      </c>
      <c r="L5" s="252" t="s">
        <v>702</v>
      </c>
      <c r="N5" s="260" t="s">
        <v>747</v>
      </c>
      <c r="O5" s="262" t="s">
        <v>748</v>
      </c>
    </row>
    <row r="6" spans="1:15" ht="16.5" x14ac:dyDescent="0.15">
      <c r="A6" s="313"/>
      <c r="B6" s="315"/>
      <c r="C6" s="210" t="s">
        <v>662</v>
      </c>
      <c r="D6" s="323">
        <v>6</v>
      </c>
      <c r="E6" s="324"/>
      <c r="F6" s="338"/>
      <c r="G6" s="328"/>
      <c r="H6" s="328"/>
      <c r="I6" s="330"/>
      <c r="K6" s="255" t="s">
        <v>703</v>
      </c>
      <c r="L6" s="253" t="s">
        <v>707</v>
      </c>
      <c r="N6" s="260" t="s">
        <v>749</v>
      </c>
      <c r="O6" s="262" t="s">
        <v>750</v>
      </c>
    </row>
    <row r="7" spans="1:15" ht="16.5" customHeight="1" x14ac:dyDescent="0.15">
      <c r="A7" s="313"/>
      <c r="B7" s="315"/>
      <c r="C7" s="210" t="s">
        <v>663</v>
      </c>
      <c r="D7" s="323">
        <v>4</v>
      </c>
      <c r="E7" s="324"/>
      <c r="F7" s="338"/>
      <c r="G7" s="328"/>
      <c r="H7" s="328"/>
      <c r="I7" s="330"/>
      <c r="N7" s="260" t="s">
        <v>751</v>
      </c>
      <c r="O7" s="262" t="s">
        <v>752</v>
      </c>
    </row>
    <row r="8" spans="1:15" ht="16.5" customHeight="1" x14ac:dyDescent="0.15">
      <c r="A8" s="313"/>
      <c r="B8" s="315"/>
      <c r="C8" s="210" t="s">
        <v>665</v>
      </c>
      <c r="D8" s="323">
        <v>2</v>
      </c>
      <c r="E8" s="324"/>
      <c r="F8" s="338"/>
      <c r="G8" s="328"/>
      <c r="H8" s="328"/>
      <c r="I8" s="330"/>
      <c r="K8" s="8"/>
      <c r="N8" s="260" t="s">
        <v>753</v>
      </c>
      <c r="O8" s="262" t="s">
        <v>754</v>
      </c>
    </row>
    <row r="9" spans="1:15" ht="57" customHeight="1" thickBot="1" x14ac:dyDescent="0.2">
      <c r="A9" s="314"/>
      <c r="B9" s="316"/>
      <c r="C9" s="211" t="s">
        <v>664</v>
      </c>
      <c r="D9" s="325">
        <v>0</v>
      </c>
      <c r="E9" s="326"/>
      <c r="F9" s="339"/>
      <c r="G9" s="350"/>
      <c r="H9" s="329"/>
      <c r="I9" s="330"/>
      <c r="N9" s="260" t="s">
        <v>755</v>
      </c>
      <c r="O9" s="262" t="s">
        <v>756</v>
      </c>
    </row>
    <row r="10" spans="1:15" ht="25.5" customHeight="1" x14ac:dyDescent="0.15">
      <c r="A10" s="351" t="s">
        <v>595</v>
      </c>
      <c r="B10" s="332">
        <v>0.5</v>
      </c>
      <c r="C10" s="352" t="s">
        <v>698</v>
      </c>
      <c r="D10" s="215" t="s">
        <v>668</v>
      </c>
      <c r="E10" s="192" t="s">
        <v>667</v>
      </c>
      <c r="F10" s="332">
        <v>0.45</v>
      </c>
      <c r="G10" s="334" t="s">
        <v>648</v>
      </c>
      <c r="H10" s="336" t="s">
        <v>651</v>
      </c>
      <c r="I10" s="330"/>
      <c r="N10" s="260" t="s">
        <v>757</v>
      </c>
      <c r="O10" s="262" t="s">
        <v>758</v>
      </c>
    </row>
    <row r="11" spans="1:15" ht="25.5" customHeight="1" x14ac:dyDescent="0.15">
      <c r="A11" s="313"/>
      <c r="B11" s="315"/>
      <c r="C11" s="353"/>
      <c r="D11" s="219">
        <v>1</v>
      </c>
      <c r="E11" s="216">
        <v>10</v>
      </c>
      <c r="F11" s="315"/>
      <c r="G11" s="330"/>
      <c r="H11" s="330"/>
      <c r="I11" s="330"/>
      <c r="N11" s="260" t="s">
        <v>759</v>
      </c>
      <c r="O11" s="262" t="s">
        <v>760</v>
      </c>
    </row>
    <row r="12" spans="1:15" ht="23.25" customHeight="1" x14ac:dyDescent="0.15">
      <c r="A12" s="313"/>
      <c r="B12" s="315"/>
      <c r="C12" s="353"/>
      <c r="D12" s="220">
        <v>2</v>
      </c>
      <c r="E12" s="216">
        <v>8</v>
      </c>
      <c r="F12" s="315"/>
      <c r="G12" s="330"/>
      <c r="H12" s="330"/>
      <c r="I12" s="330"/>
      <c r="N12" s="260" t="s">
        <v>761</v>
      </c>
      <c r="O12" s="262" t="s">
        <v>762</v>
      </c>
    </row>
    <row r="13" spans="1:15" ht="24.75" customHeight="1" x14ac:dyDescent="0.15">
      <c r="A13" s="313"/>
      <c r="B13" s="315"/>
      <c r="C13" s="353"/>
      <c r="D13" s="220">
        <v>3</v>
      </c>
      <c r="E13" s="216">
        <v>6</v>
      </c>
      <c r="F13" s="315"/>
      <c r="G13" s="330"/>
      <c r="H13" s="330"/>
      <c r="I13" s="330"/>
      <c r="N13" s="260" t="s">
        <v>763</v>
      </c>
      <c r="O13" s="262" t="s">
        <v>764</v>
      </c>
    </row>
    <row r="14" spans="1:15" ht="24.75" customHeight="1" x14ac:dyDescent="0.15">
      <c r="A14" s="313"/>
      <c r="B14" s="315"/>
      <c r="C14" s="353"/>
      <c r="D14" s="220">
        <v>4</v>
      </c>
      <c r="E14" s="216">
        <v>5</v>
      </c>
      <c r="F14" s="315"/>
      <c r="G14" s="330"/>
      <c r="H14" s="330"/>
      <c r="I14" s="330"/>
      <c r="N14" s="261" t="s">
        <v>765</v>
      </c>
      <c r="O14" s="263" t="s">
        <v>766</v>
      </c>
    </row>
    <row r="15" spans="1:15" ht="21" customHeight="1" x14ac:dyDescent="0.15">
      <c r="A15" s="313"/>
      <c r="B15" s="315"/>
      <c r="C15" s="353"/>
      <c r="D15" s="220">
        <v>5</v>
      </c>
      <c r="E15" s="216">
        <v>4</v>
      </c>
      <c r="F15" s="315"/>
      <c r="G15" s="330"/>
      <c r="H15" s="330"/>
      <c r="I15" s="330"/>
    </row>
    <row r="16" spans="1:15" ht="29.25" customHeight="1" x14ac:dyDescent="0.15">
      <c r="A16" s="313"/>
      <c r="B16" s="315"/>
      <c r="C16" s="353"/>
      <c r="D16" s="220">
        <v>6</v>
      </c>
      <c r="E16" s="216">
        <v>3.2</v>
      </c>
      <c r="F16" s="315"/>
      <c r="G16" s="330"/>
      <c r="H16" s="330"/>
      <c r="I16" s="330"/>
    </row>
    <row r="17" spans="1:9" ht="27" customHeight="1" x14ac:dyDescent="0.15">
      <c r="A17" s="313"/>
      <c r="B17" s="315"/>
      <c r="C17" s="353"/>
      <c r="D17" s="220">
        <v>7</v>
      </c>
      <c r="E17" s="216">
        <v>2.4</v>
      </c>
      <c r="F17" s="315"/>
      <c r="G17" s="330"/>
      <c r="H17" s="330"/>
      <c r="I17" s="330"/>
    </row>
    <row r="18" spans="1:9" ht="21" customHeight="1" x14ac:dyDescent="0.15">
      <c r="A18" s="313"/>
      <c r="B18" s="315"/>
      <c r="C18" s="353"/>
      <c r="D18" s="220">
        <v>8</v>
      </c>
      <c r="E18" s="216">
        <v>2</v>
      </c>
      <c r="F18" s="315"/>
      <c r="G18" s="330"/>
      <c r="H18" s="330"/>
      <c r="I18" s="330"/>
    </row>
    <row r="19" spans="1:9" ht="18.75" customHeight="1" x14ac:dyDescent="0.15">
      <c r="A19" s="313"/>
      <c r="B19" s="315"/>
      <c r="C19" s="353"/>
      <c r="D19" s="220">
        <v>9</v>
      </c>
      <c r="E19" s="216">
        <v>1</v>
      </c>
      <c r="F19" s="315"/>
      <c r="G19" s="330"/>
      <c r="H19" s="330"/>
      <c r="I19" s="330"/>
    </row>
    <row r="20" spans="1:9" ht="24.75" customHeight="1" thickBot="1" x14ac:dyDescent="0.2">
      <c r="A20" s="313"/>
      <c r="B20" s="315"/>
      <c r="C20" s="354"/>
      <c r="D20" s="221">
        <v>10</v>
      </c>
      <c r="E20" s="217">
        <v>0</v>
      </c>
      <c r="F20" s="316"/>
      <c r="G20" s="335"/>
      <c r="H20" s="330"/>
      <c r="I20" s="330"/>
    </row>
    <row r="21" spans="1:9" ht="16.5" x14ac:dyDescent="0.15">
      <c r="A21" s="313"/>
      <c r="B21" s="315"/>
      <c r="C21" s="327" t="s">
        <v>700</v>
      </c>
      <c r="D21" s="215" t="s">
        <v>666</v>
      </c>
      <c r="E21" s="192" t="s">
        <v>667</v>
      </c>
      <c r="F21" s="332">
        <v>0.3</v>
      </c>
      <c r="G21" s="344" t="s">
        <v>650</v>
      </c>
      <c r="H21" s="330"/>
      <c r="I21" s="330"/>
    </row>
    <row r="22" spans="1:9" ht="16.5" x14ac:dyDescent="0.15">
      <c r="A22" s="313"/>
      <c r="B22" s="315"/>
      <c r="C22" s="328"/>
      <c r="D22" s="223" t="s">
        <v>712</v>
      </c>
      <c r="E22" s="218">
        <v>10</v>
      </c>
      <c r="F22" s="315"/>
      <c r="G22" s="345"/>
      <c r="H22" s="330"/>
      <c r="I22" s="330"/>
    </row>
    <row r="23" spans="1:9" ht="16.5" x14ac:dyDescent="0.15">
      <c r="A23" s="313"/>
      <c r="B23" s="315"/>
      <c r="C23" s="328"/>
      <c r="D23" s="223" t="s">
        <v>713</v>
      </c>
      <c r="E23" s="218">
        <v>8</v>
      </c>
      <c r="F23" s="315"/>
      <c r="G23" s="345"/>
      <c r="H23" s="330"/>
      <c r="I23" s="330"/>
    </row>
    <row r="24" spans="1:9" ht="16.5" x14ac:dyDescent="0.15">
      <c r="A24" s="313"/>
      <c r="B24" s="315"/>
      <c r="C24" s="328"/>
      <c r="D24" s="223" t="s">
        <v>714</v>
      </c>
      <c r="E24" s="218">
        <v>6</v>
      </c>
      <c r="F24" s="315"/>
      <c r="G24" s="345"/>
      <c r="H24" s="330"/>
      <c r="I24" s="330"/>
    </row>
    <row r="25" spans="1:9" ht="16.5" x14ac:dyDescent="0.15">
      <c r="A25" s="313"/>
      <c r="B25" s="315"/>
      <c r="C25" s="328"/>
      <c r="D25" s="223" t="s">
        <v>669</v>
      </c>
      <c r="E25" s="218">
        <v>4</v>
      </c>
      <c r="F25" s="315"/>
      <c r="G25" s="345"/>
      <c r="H25" s="330"/>
      <c r="I25" s="330"/>
    </row>
    <row r="26" spans="1:9" ht="17.25" thickBot="1" x14ac:dyDescent="0.2">
      <c r="A26" s="313"/>
      <c r="B26" s="315"/>
      <c r="C26" s="350"/>
      <c r="D26" s="224" t="s">
        <v>715</v>
      </c>
      <c r="E26" s="222">
        <v>2</v>
      </c>
      <c r="F26" s="316"/>
      <c r="G26" s="346"/>
      <c r="H26" s="330"/>
      <c r="I26" s="330"/>
    </row>
    <row r="27" spans="1:9" ht="16.5" x14ac:dyDescent="0.15">
      <c r="A27" s="313"/>
      <c r="B27" s="315"/>
      <c r="C27" s="356" t="s">
        <v>720</v>
      </c>
      <c r="D27" s="215" t="s">
        <v>678</v>
      </c>
      <c r="E27" s="230" t="s">
        <v>671</v>
      </c>
      <c r="F27" s="332">
        <v>0.15</v>
      </c>
      <c r="G27" s="334" t="s">
        <v>607</v>
      </c>
      <c r="H27" s="330"/>
      <c r="I27" s="330"/>
    </row>
    <row r="28" spans="1:9" ht="16.5" x14ac:dyDescent="0.15">
      <c r="A28" s="313"/>
      <c r="B28" s="315"/>
      <c r="C28" s="353"/>
      <c r="D28" s="212" t="str">
        <f t="shared" ref="D28:D40" si="0">O2</f>
        <v>&gt;=450,0000,000</v>
      </c>
      <c r="E28" s="228">
        <v>10</v>
      </c>
      <c r="F28" s="315"/>
      <c r="G28" s="330"/>
      <c r="H28" s="330"/>
      <c r="I28" s="330"/>
    </row>
    <row r="29" spans="1:9" ht="16.5" x14ac:dyDescent="0.15">
      <c r="A29" s="313"/>
      <c r="B29" s="315"/>
      <c r="C29" s="353"/>
      <c r="D29" s="212" t="str">
        <f t="shared" si="0"/>
        <v>&gt;=85,000,000;&lt;450,0000,000</v>
      </c>
      <c r="E29" s="228">
        <v>9.25</v>
      </c>
      <c r="F29" s="315"/>
      <c r="G29" s="330"/>
      <c r="H29" s="330"/>
      <c r="I29" s="330"/>
    </row>
    <row r="30" spans="1:9" ht="16.5" x14ac:dyDescent="0.15">
      <c r="A30" s="313"/>
      <c r="B30" s="315"/>
      <c r="C30" s="353"/>
      <c r="D30" s="212" t="str">
        <f t="shared" si="0"/>
        <v>&gt;=8,500,000;&lt;85,000,000</v>
      </c>
      <c r="E30" s="228">
        <v>8.5</v>
      </c>
      <c r="F30" s="315"/>
      <c r="G30" s="330"/>
      <c r="H30" s="330"/>
      <c r="I30" s="330"/>
    </row>
    <row r="31" spans="1:9" ht="16.5" x14ac:dyDescent="0.15">
      <c r="A31" s="313"/>
      <c r="B31" s="315"/>
      <c r="C31" s="353"/>
      <c r="D31" s="212" t="str">
        <f t="shared" si="0"/>
        <v>&gt;=6,500,000;&lt;8,500,000</v>
      </c>
      <c r="E31" s="228">
        <v>7.75</v>
      </c>
      <c r="F31" s="315"/>
      <c r="G31" s="330"/>
      <c r="H31" s="330"/>
      <c r="I31" s="330"/>
    </row>
    <row r="32" spans="1:9" ht="16.5" x14ac:dyDescent="0.15">
      <c r="A32" s="313"/>
      <c r="B32" s="315"/>
      <c r="C32" s="353"/>
      <c r="D32" s="212" t="str">
        <f t="shared" si="0"/>
        <v>&gt;=4,500,000;&lt;6,500,000</v>
      </c>
      <c r="E32" s="228">
        <v>7</v>
      </c>
      <c r="F32" s="315"/>
      <c r="G32" s="330"/>
      <c r="H32" s="330"/>
      <c r="I32" s="330"/>
    </row>
    <row r="33" spans="1:9" ht="16.5" x14ac:dyDescent="0.15">
      <c r="A33" s="313"/>
      <c r="B33" s="315"/>
      <c r="C33" s="353"/>
      <c r="D33" s="212" t="str">
        <f t="shared" si="0"/>
        <v>&gt;=2,500,000;&lt;4,500,000</v>
      </c>
      <c r="E33" s="228">
        <v>6.25</v>
      </c>
      <c r="F33" s="315"/>
      <c r="G33" s="330"/>
      <c r="H33" s="330"/>
      <c r="I33" s="330"/>
    </row>
    <row r="34" spans="1:9" ht="16.5" x14ac:dyDescent="0.15">
      <c r="A34" s="313"/>
      <c r="B34" s="315"/>
      <c r="C34" s="353"/>
      <c r="D34" s="212" t="str">
        <f t="shared" si="0"/>
        <v>&gt;=1,750,000;&lt;2,500,000</v>
      </c>
      <c r="E34" s="228">
        <v>5.5</v>
      </c>
      <c r="F34" s="315"/>
      <c r="G34" s="330"/>
      <c r="H34" s="330"/>
      <c r="I34" s="330"/>
    </row>
    <row r="35" spans="1:9" ht="16.5" x14ac:dyDescent="0.15">
      <c r="A35" s="313"/>
      <c r="B35" s="315"/>
      <c r="C35" s="353"/>
      <c r="D35" s="212" t="str">
        <f t="shared" si="0"/>
        <v>&gt;=1,000,000;&lt;1,750,000</v>
      </c>
      <c r="E35" s="228">
        <v>4.75</v>
      </c>
      <c r="F35" s="315"/>
      <c r="G35" s="330"/>
      <c r="H35" s="330"/>
      <c r="I35" s="330"/>
    </row>
    <row r="36" spans="1:9" ht="16.5" x14ac:dyDescent="0.15">
      <c r="A36" s="313"/>
      <c r="B36" s="315"/>
      <c r="C36" s="353"/>
      <c r="D36" s="212" t="str">
        <f t="shared" si="0"/>
        <v>&gt;=650,000;&lt;1,000,000</v>
      </c>
      <c r="E36" s="228">
        <v>4</v>
      </c>
      <c r="F36" s="315"/>
      <c r="G36" s="330"/>
      <c r="H36" s="330"/>
      <c r="I36" s="330"/>
    </row>
    <row r="37" spans="1:9" ht="16.5" x14ac:dyDescent="0.15">
      <c r="A37" s="313"/>
      <c r="B37" s="315"/>
      <c r="C37" s="353"/>
      <c r="D37" s="212" t="str">
        <f t="shared" si="0"/>
        <v>&gt;=450,000;&lt;650,000</v>
      </c>
      <c r="E37" s="228">
        <v>3.25</v>
      </c>
      <c r="F37" s="315"/>
      <c r="G37" s="330"/>
      <c r="H37" s="330"/>
      <c r="I37" s="330"/>
    </row>
    <row r="38" spans="1:9" ht="16.5" x14ac:dyDescent="0.15">
      <c r="A38" s="313"/>
      <c r="B38" s="315"/>
      <c r="C38" s="353"/>
      <c r="D38" s="212" t="str">
        <f t="shared" si="0"/>
        <v>&gt;=300,000;450,000</v>
      </c>
      <c r="E38" s="228">
        <v>2.5</v>
      </c>
      <c r="F38" s="315"/>
      <c r="G38" s="330"/>
      <c r="H38" s="330"/>
      <c r="I38" s="330"/>
    </row>
    <row r="39" spans="1:9" ht="16.5" x14ac:dyDescent="0.15">
      <c r="A39" s="313"/>
      <c r="B39" s="315"/>
      <c r="C39" s="353"/>
      <c r="D39" s="212" t="str">
        <f t="shared" si="0"/>
        <v>&gt;=200,000;300,000</v>
      </c>
      <c r="E39" s="228">
        <v>1.75</v>
      </c>
      <c r="F39" s="315"/>
      <c r="G39" s="330"/>
      <c r="H39" s="330"/>
      <c r="I39" s="330"/>
    </row>
    <row r="40" spans="1:9" ht="17.25" thickBot="1" x14ac:dyDescent="0.2">
      <c r="A40" s="313"/>
      <c r="B40" s="315"/>
      <c r="C40" s="355"/>
      <c r="D40" s="213" t="str">
        <f t="shared" si="0"/>
        <v>&lt;200,000</v>
      </c>
      <c r="E40" s="229">
        <v>1</v>
      </c>
      <c r="F40" s="333"/>
      <c r="G40" s="335"/>
      <c r="H40" s="330"/>
      <c r="I40" s="330"/>
    </row>
    <row r="41" spans="1:9" ht="16.5" x14ac:dyDescent="0.15">
      <c r="A41" s="313"/>
      <c r="B41" s="315"/>
      <c r="C41" s="352" t="s">
        <v>769</v>
      </c>
      <c r="D41" s="214" t="s">
        <v>666</v>
      </c>
      <c r="E41" s="231" t="s">
        <v>671</v>
      </c>
      <c r="F41" s="348">
        <v>0.1</v>
      </c>
      <c r="G41" s="334" t="s">
        <v>622</v>
      </c>
      <c r="H41" s="330"/>
      <c r="I41" s="330"/>
    </row>
    <row r="42" spans="1:9" ht="33" x14ac:dyDescent="0.15">
      <c r="A42" s="313"/>
      <c r="B42" s="315"/>
      <c r="C42" s="353"/>
      <c r="D42" s="212" t="s">
        <v>689</v>
      </c>
      <c r="E42" s="228">
        <v>10</v>
      </c>
      <c r="F42" s="315"/>
      <c r="G42" s="330"/>
      <c r="H42" s="330"/>
      <c r="I42" s="330"/>
    </row>
    <row r="43" spans="1:9" ht="33" x14ac:dyDescent="0.15">
      <c r="A43" s="313"/>
      <c r="B43" s="315"/>
      <c r="C43" s="353"/>
      <c r="D43" s="212" t="s">
        <v>690</v>
      </c>
      <c r="E43" s="228">
        <v>5</v>
      </c>
      <c r="F43" s="315"/>
      <c r="G43" s="330"/>
      <c r="H43" s="330"/>
      <c r="I43" s="330"/>
    </row>
    <row r="44" spans="1:9" ht="50.25" thickBot="1" x14ac:dyDescent="0.2">
      <c r="A44" s="313"/>
      <c r="B44" s="315"/>
      <c r="C44" s="355"/>
      <c r="D44" s="213" t="s">
        <v>688</v>
      </c>
      <c r="E44" s="229">
        <v>0</v>
      </c>
      <c r="F44" s="333"/>
      <c r="G44" s="335"/>
      <c r="H44" s="331"/>
      <c r="I44" s="330"/>
    </row>
    <row r="45" spans="1:9" ht="36.75" customHeight="1" x14ac:dyDescent="0.15">
      <c r="A45" s="313" t="s">
        <v>723</v>
      </c>
      <c r="B45" s="315">
        <v>0.1</v>
      </c>
      <c r="C45" s="226" t="s">
        <v>670</v>
      </c>
      <c r="D45" s="361" t="s">
        <v>673</v>
      </c>
      <c r="E45" s="362"/>
      <c r="F45" s="337">
        <v>1</v>
      </c>
      <c r="G45" s="375">
        <v>41680</v>
      </c>
      <c r="H45" s="336" t="s">
        <v>627</v>
      </c>
      <c r="I45" s="330"/>
    </row>
    <row r="46" spans="1:9" ht="36.75" customHeight="1" x14ac:dyDescent="0.15">
      <c r="A46" s="313"/>
      <c r="B46" s="315"/>
      <c r="C46" s="225" t="s">
        <v>672</v>
      </c>
      <c r="D46" s="357">
        <v>10</v>
      </c>
      <c r="E46" s="358"/>
      <c r="F46" s="338"/>
      <c r="G46" s="376"/>
      <c r="H46" s="330"/>
      <c r="I46" s="330"/>
    </row>
    <row r="47" spans="1:9" ht="96" customHeight="1" x14ac:dyDescent="0.15">
      <c r="A47" s="313"/>
      <c r="B47" s="315"/>
      <c r="C47" s="225" t="s">
        <v>674</v>
      </c>
      <c r="D47" s="357">
        <v>6</v>
      </c>
      <c r="E47" s="358"/>
      <c r="F47" s="338"/>
      <c r="G47" s="376"/>
      <c r="H47" s="330"/>
      <c r="I47" s="330"/>
    </row>
    <row r="48" spans="1:9" ht="23.25" customHeight="1" thickBot="1" x14ac:dyDescent="0.2">
      <c r="A48" s="347"/>
      <c r="B48" s="333"/>
      <c r="C48" s="227" t="s">
        <v>675</v>
      </c>
      <c r="D48" s="359">
        <v>2</v>
      </c>
      <c r="E48" s="360"/>
      <c r="F48" s="339"/>
      <c r="G48" s="377"/>
      <c r="H48" s="331"/>
      <c r="I48" s="330"/>
    </row>
    <row r="49" spans="1:9" ht="16.5" x14ac:dyDescent="0.15">
      <c r="A49" s="312" t="s">
        <v>652</v>
      </c>
      <c r="B49" s="348">
        <v>0.15</v>
      </c>
      <c r="C49" s="215" t="s">
        <v>724</v>
      </c>
      <c r="D49" s="317" t="s">
        <v>676</v>
      </c>
      <c r="E49" s="318"/>
      <c r="F49" s="349">
        <v>1</v>
      </c>
      <c r="G49" s="327" t="s">
        <v>588</v>
      </c>
      <c r="H49" s="336" t="s">
        <v>631</v>
      </c>
      <c r="I49" s="330"/>
    </row>
    <row r="50" spans="1:9" ht="16.5" x14ac:dyDescent="0.15">
      <c r="A50" s="313"/>
      <c r="B50" s="315"/>
      <c r="C50" s="210" t="s">
        <v>679</v>
      </c>
      <c r="D50" s="340">
        <v>10</v>
      </c>
      <c r="E50" s="341"/>
      <c r="F50" s="338"/>
      <c r="G50" s="328"/>
      <c r="H50" s="330"/>
      <c r="I50" s="330"/>
    </row>
    <row r="51" spans="1:9" ht="16.5" x14ac:dyDescent="0.15">
      <c r="A51" s="313"/>
      <c r="B51" s="315"/>
      <c r="C51" s="210" t="s">
        <v>716</v>
      </c>
      <c r="D51" s="340">
        <v>8</v>
      </c>
      <c r="E51" s="341"/>
      <c r="F51" s="338"/>
      <c r="G51" s="328"/>
      <c r="H51" s="330"/>
      <c r="I51" s="330"/>
    </row>
    <row r="52" spans="1:9" ht="16.5" x14ac:dyDescent="0.15">
      <c r="A52" s="313"/>
      <c r="B52" s="315"/>
      <c r="C52" s="210" t="s">
        <v>717</v>
      </c>
      <c r="D52" s="340">
        <v>6</v>
      </c>
      <c r="E52" s="341"/>
      <c r="F52" s="338"/>
      <c r="G52" s="328"/>
      <c r="H52" s="330"/>
      <c r="I52" s="330"/>
    </row>
    <row r="53" spans="1:9" ht="16.5" x14ac:dyDescent="0.15">
      <c r="A53" s="313"/>
      <c r="B53" s="315"/>
      <c r="C53" s="210" t="s">
        <v>718</v>
      </c>
      <c r="D53" s="340">
        <v>4</v>
      </c>
      <c r="E53" s="341"/>
      <c r="F53" s="338"/>
      <c r="G53" s="328"/>
      <c r="H53" s="330"/>
      <c r="I53" s="330"/>
    </row>
    <row r="54" spans="1:9" ht="16.5" x14ac:dyDescent="0.15">
      <c r="A54" s="313"/>
      <c r="B54" s="315"/>
      <c r="C54" s="210" t="s">
        <v>719</v>
      </c>
      <c r="D54" s="340">
        <v>2</v>
      </c>
      <c r="E54" s="341"/>
      <c r="F54" s="338"/>
      <c r="G54" s="328"/>
      <c r="H54" s="330"/>
      <c r="I54" s="330"/>
    </row>
    <row r="55" spans="1:9" ht="17.25" thickBot="1" x14ac:dyDescent="0.2">
      <c r="A55" s="347"/>
      <c r="B55" s="333"/>
      <c r="C55" s="211" t="s">
        <v>680</v>
      </c>
      <c r="D55" s="342">
        <v>0</v>
      </c>
      <c r="E55" s="343"/>
      <c r="F55" s="339"/>
      <c r="G55" s="350"/>
      <c r="H55" s="331"/>
      <c r="I55" s="331"/>
    </row>
  </sheetData>
  <mergeCells count="55">
    <mergeCell ref="H45:H48"/>
    <mergeCell ref="D47:E47"/>
    <mergeCell ref="D48:E48"/>
    <mergeCell ref="D45:E45"/>
    <mergeCell ref="A1:A2"/>
    <mergeCell ref="B1:B2"/>
    <mergeCell ref="C1:E2"/>
    <mergeCell ref="F1:G1"/>
    <mergeCell ref="H1:H2"/>
    <mergeCell ref="F41:F44"/>
    <mergeCell ref="G41:G44"/>
    <mergeCell ref="D46:E46"/>
    <mergeCell ref="F45:F48"/>
    <mergeCell ref="G45:G48"/>
    <mergeCell ref="G3:G9"/>
    <mergeCell ref="F10:F20"/>
    <mergeCell ref="G10:G20"/>
    <mergeCell ref="F21:F26"/>
    <mergeCell ref="G21:G26"/>
    <mergeCell ref="A49:A55"/>
    <mergeCell ref="B49:B55"/>
    <mergeCell ref="F49:F55"/>
    <mergeCell ref="G49:G55"/>
    <mergeCell ref="A45:A48"/>
    <mergeCell ref="B45:B48"/>
    <mergeCell ref="A10:A44"/>
    <mergeCell ref="B10:B44"/>
    <mergeCell ref="C10:C20"/>
    <mergeCell ref="C41:C44"/>
    <mergeCell ref="C21:C26"/>
    <mergeCell ref="C27:C40"/>
    <mergeCell ref="H49:H55"/>
    <mergeCell ref="D53:E53"/>
    <mergeCell ref="D54:E54"/>
    <mergeCell ref="D55:E55"/>
    <mergeCell ref="D49:E49"/>
    <mergeCell ref="D50:E50"/>
    <mergeCell ref="D52:E52"/>
    <mergeCell ref="D51:E51"/>
    <mergeCell ref="K1:L1"/>
    <mergeCell ref="A3:A9"/>
    <mergeCell ref="B3:B9"/>
    <mergeCell ref="D3:E3"/>
    <mergeCell ref="D4:E4"/>
    <mergeCell ref="D5:E5"/>
    <mergeCell ref="D6:E6"/>
    <mergeCell ref="D7:E7"/>
    <mergeCell ref="D9:E9"/>
    <mergeCell ref="D8:E8"/>
    <mergeCell ref="H3:H9"/>
    <mergeCell ref="I3:I55"/>
    <mergeCell ref="F27:F40"/>
    <mergeCell ref="G27:G40"/>
    <mergeCell ref="H10:H44"/>
    <mergeCell ref="F3:F9"/>
  </mergeCells>
  <phoneticPr fontId="1"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4"/>
  <sheetViews>
    <sheetView workbookViewId="0">
      <selection activeCell="D8" sqref="D8:D9"/>
    </sheetView>
  </sheetViews>
  <sheetFormatPr defaultRowHeight="13.5" x14ac:dyDescent="0.15"/>
  <cols>
    <col min="1" max="1" width="11.75" customWidth="1"/>
    <col min="3" max="3" width="40.875" style="8" customWidth="1"/>
    <col min="4" max="4" width="21.875" customWidth="1"/>
  </cols>
  <sheetData>
    <row r="1" spans="1:7" ht="73.5" customHeight="1" x14ac:dyDescent="0.15">
      <c r="A1" s="379" t="s">
        <v>770</v>
      </c>
      <c r="B1" s="380"/>
      <c r="C1" s="380"/>
      <c r="D1" s="380"/>
      <c r="E1" s="380"/>
      <c r="F1" s="380"/>
      <c r="G1" s="380"/>
    </row>
    <row r="2" spans="1:7" ht="49.5" x14ac:dyDescent="0.15">
      <c r="A2" s="241" t="s">
        <v>577</v>
      </c>
      <c r="B2" s="240" t="s">
        <v>578</v>
      </c>
      <c r="C2" s="247" t="s">
        <v>694</v>
      </c>
      <c r="D2" s="247" t="s">
        <v>693</v>
      </c>
      <c r="E2" s="240" t="s">
        <v>580</v>
      </c>
      <c r="F2" s="240" t="s">
        <v>581</v>
      </c>
      <c r="G2" s="240" t="s">
        <v>582</v>
      </c>
    </row>
    <row r="3" spans="1:7" ht="42.75" customHeight="1" x14ac:dyDescent="0.15">
      <c r="A3" s="242" t="str">
        <f>Criteria!A3</f>
        <v>Vendor support</v>
      </c>
      <c r="B3" s="239">
        <f>Criteria!B3</f>
        <v>0.25</v>
      </c>
      <c r="C3" s="235" t="s">
        <v>771</v>
      </c>
      <c r="D3" s="235">
        <v>8</v>
      </c>
      <c r="E3" s="239">
        <f>Criteria!F3</f>
        <v>1</v>
      </c>
      <c r="F3" s="235">
        <f>B3*D3*E3</f>
        <v>2</v>
      </c>
      <c r="G3" s="385">
        <f>F3+F4+F12+F13</f>
        <v>7.7374999999999998</v>
      </c>
    </row>
    <row r="4" spans="1:7" ht="21.75" customHeight="1" x14ac:dyDescent="0.15">
      <c r="A4" s="387" t="str">
        <f>Criteria!A10</f>
        <v>Customer risk appraisal</v>
      </c>
      <c r="B4" s="382">
        <f>Criteria!B10</f>
        <v>0.5</v>
      </c>
      <c r="C4" s="238" t="s">
        <v>699</v>
      </c>
      <c r="D4" s="381">
        <v>8</v>
      </c>
      <c r="E4" s="382">
        <f>Criteria!F10</f>
        <v>0.45</v>
      </c>
      <c r="F4" s="384">
        <f>(D4*E4+D6*E6+D8*E8+D10*E11)*B4</f>
        <v>3.9375</v>
      </c>
      <c r="G4" s="385"/>
    </row>
    <row r="5" spans="1:7" ht="32.25" customHeight="1" x14ac:dyDescent="0.15">
      <c r="A5" s="387"/>
      <c r="B5" s="382"/>
      <c r="C5" s="238">
        <v>2</v>
      </c>
      <c r="D5" s="381"/>
      <c r="E5" s="382"/>
      <c r="F5" s="384"/>
      <c r="G5" s="385"/>
    </row>
    <row r="6" spans="1:7" ht="35.25" customHeight="1" x14ac:dyDescent="0.15">
      <c r="A6" s="387"/>
      <c r="B6" s="382"/>
      <c r="C6" s="238" t="s">
        <v>602</v>
      </c>
      <c r="D6" s="381">
        <v>10</v>
      </c>
      <c r="E6" s="382">
        <f>Criteria!F21</f>
        <v>0.3</v>
      </c>
      <c r="F6" s="384"/>
      <c r="G6" s="385"/>
    </row>
    <row r="7" spans="1:7" ht="35.25" customHeight="1" x14ac:dyDescent="0.15">
      <c r="A7" s="387"/>
      <c r="B7" s="382"/>
      <c r="C7" s="238" t="s">
        <v>772</v>
      </c>
      <c r="D7" s="381"/>
      <c r="E7" s="382"/>
      <c r="F7" s="384"/>
      <c r="G7" s="385"/>
    </row>
    <row r="8" spans="1:7" ht="20.25" customHeight="1" x14ac:dyDescent="0.15">
      <c r="A8" s="387"/>
      <c r="B8" s="382"/>
      <c r="C8" s="238" t="s">
        <v>677</v>
      </c>
      <c r="D8" s="383">
        <v>8.5</v>
      </c>
      <c r="E8" s="382">
        <v>0.15</v>
      </c>
      <c r="F8" s="384"/>
      <c r="G8" s="385"/>
    </row>
    <row r="9" spans="1:7" ht="35.25" customHeight="1" x14ac:dyDescent="0.15">
      <c r="A9" s="387"/>
      <c r="B9" s="382"/>
      <c r="C9" s="256">
        <v>33825000</v>
      </c>
      <c r="D9" s="383"/>
      <c r="E9" s="382"/>
      <c r="F9" s="384"/>
      <c r="G9" s="385"/>
    </row>
    <row r="10" spans="1:7" ht="21.75" customHeight="1" x14ac:dyDescent="0.15">
      <c r="A10" s="387"/>
      <c r="B10" s="382"/>
      <c r="C10" s="238" t="s">
        <v>722</v>
      </c>
      <c r="D10" s="381">
        <v>0</v>
      </c>
      <c r="E10" s="382">
        <f>Criteria!F41</f>
        <v>0.1</v>
      </c>
      <c r="F10" s="384"/>
      <c r="G10" s="385"/>
    </row>
    <row r="11" spans="1:7" ht="27.75" customHeight="1" x14ac:dyDescent="0.15">
      <c r="A11" s="387"/>
      <c r="B11" s="382"/>
      <c r="C11" s="238" t="s">
        <v>773</v>
      </c>
      <c r="D11" s="381"/>
      <c r="E11" s="382"/>
      <c r="F11" s="384"/>
      <c r="G11" s="385"/>
    </row>
    <row r="12" spans="1:7" ht="36.75" customHeight="1" x14ac:dyDescent="0.15">
      <c r="A12" s="242" t="str">
        <f>Criteria!A45</f>
        <v>Assets location</v>
      </c>
      <c r="B12" s="239">
        <f>Criteria!B45</f>
        <v>0.1</v>
      </c>
      <c r="C12" s="237" t="s">
        <v>672</v>
      </c>
      <c r="D12" s="237">
        <v>6</v>
      </c>
      <c r="E12" s="239">
        <f>Criteria!F45</f>
        <v>1</v>
      </c>
      <c r="F12" s="258">
        <f>B12*D12*E12</f>
        <v>0.60000000000000009</v>
      </c>
      <c r="G12" s="385"/>
    </row>
    <row r="13" spans="1:7" ht="37.5" customHeight="1" x14ac:dyDescent="0.15">
      <c r="A13" s="243" t="str">
        <f>Criteria!A49</f>
        <v>Leverage rate</v>
      </c>
      <c r="B13" s="244">
        <f>Criteria!B49</f>
        <v>0.15</v>
      </c>
      <c r="C13" s="257">
        <v>0.5</v>
      </c>
      <c r="D13" s="245">
        <v>8</v>
      </c>
      <c r="E13" s="244">
        <f>Criteria!F49</f>
        <v>1</v>
      </c>
      <c r="F13" s="246">
        <f>B13*D13*E13</f>
        <v>1.2</v>
      </c>
      <c r="G13" s="386"/>
    </row>
    <row r="14" spans="1:7" x14ac:dyDescent="0.15">
      <c r="A14" s="7"/>
      <c r="B14" s="7"/>
      <c r="C14" s="248"/>
      <c r="D14" s="7"/>
      <c r="E14" s="7"/>
      <c r="F14" s="7"/>
      <c r="G14" s="7"/>
    </row>
  </sheetData>
  <mergeCells count="13">
    <mergeCell ref="A1:G1"/>
    <mergeCell ref="D4:D5"/>
    <mergeCell ref="D6:D7"/>
    <mergeCell ref="E6:E7"/>
    <mergeCell ref="D8:D9"/>
    <mergeCell ref="F4:F11"/>
    <mergeCell ref="G3:G13"/>
    <mergeCell ref="D10:D11"/>
    <mergeCell ref="E10:E11"/>
    <mergeCell ref="E8:E9"/>
    <mergeCell ref="A4:A11"/>
    <mergeCell ref="B4:B11"/>
    <mergeCell ref="E4:E5"/>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48"/>
  <sheetViews>
    <sheetView topLeftCell="A13" workbookViewId="0">
      <selection sqref="A1:H48"/>
    </sheetView>
  </sheetViews>
  <sheetFormatPr defaultRowHeight="11.25" x14ac:dyDescent="0.15"/>
  <cols>
    <col min="1" max="3" width="9" style="196"/>
    <col min="4" max="4" width="18.875" style="196" customWidth="1"/>
    <col min="5" max="16384" width="9" style="196"/>
  </cols>
  <sheetData>
    <row r="1" spans="1:8" ht="26.25" thickBot="1" x14ac:dyDescent="0.2">
      <c r="A1" s="430" t="s">
        <v>577</v>
      </c>
      <c r="B1" s="430" t="s">
        <v>578</v>
      </c>
      <c r="C1" s="433" t="s">
        <v>579</v>
      </c>
      <c r="D1" s="434"/>
      <c r="E1" s="437" t="s">
        <v>580</v>
      </c>
      <c r="F1" s="438"/>
      <c r="G1" s="430" t="s">
        <v>581</v>
      </c>
      <c r="H1" s="197" t="s">
        <v>582</v>
      </c>
    </row>
    <row r="2" spans="1:8" ht="26.25" thickBot="1" x14ac:dyDescent="0.2">
      <c r="A2" s="431"/>
      <c r="B2" s="432"/>
      <c r="C2" s="435"/>
      <c r="D2" s="436"/>
      <c r="E2" s="198" t="s">
        <v>584</v>
      </c>
      <c r="F2" s="199" t="s">
        <v>585</v>
      </c>
      <c r="G2" s="439"/>
      <c r="H2" s="200" t="s">
        <v>583</v>
      </c>
    </row>
    <row r="3" spans="1:8" ht="12.75" x14ac:dyDescent="0.15">
      <c r="A3" s="388" t="s">
        <v>586</v>
      </c>
      <c r="B3" s="392">
        <v>0.25</v>
      </c>
      <c r="C3" s="394" t="s">
        <v>587</v>
      </c>
      <c r="D3" s="395"/>
      <c r="E3" s="422">
        <v>1</v>
      </c>
      <c r="F3" s="441" t="s">
        <v>588</v>
      </c>
      <c r="G3" s="412" t="s">
        <v>589</v>
      </c>
      <c r="H3" s="410" t="s">
        <v>653</v>
      </c>
    </row>
    <row r="4" spans="1:8" ht="12.75" x14ac:dyDescent="0.15">
      <c r="A4" s="389"/>
      <c r="B4" s="392"/>
      <c r="C4" s="399" t="s">
        <v>590</v>
      </c>
      <c r="D4" s="400"/>
      <c r="E4" s="397"/>
      <c r="F4" s="413"/>
      <c r="G4" s="413"/>
      <c r="H4" s="410"/>
    </row>
    <row r="5" spans="1:8" ht="12.75" x14ac:dyDescent="0.15">
      <c r="A5" s="389"/>
      <c r="B5" s="392"/>
      <c r="C5" s="399" t="s">
        <v>591</v>
      </c>
      <c r="D5" s="400"/>
      <c r="E5" s="397"/>
      <c r="F5" s="413"/>
      <c r="G5" s="413"/>
      <c r="H5" s="410"/>
    </row>
    <row r="6" spans="1:8" ht="12.75" x14ac:dyDescent="0.15">
      <c r="A6" s="389"/>
      <c r="B6" s="392"/>
      <c r="C6" s="399" t="s">
        <v>592</v>
      </c>
      <c r="D6" s="400"/>
      <c r="E6" s="397"/>
      <c r="F6" s="413"/>
      <c r="G6" s="413"/>
      <c r="H6" s="410"/>
    </row>
    <row r="7" spans="1:8" ht="12.75" x14ac:dyDescent="0.15">
      <c r="A7" s="389"/>
      <c r="B7" s="392"/>
      <c r="C7" s="399" t="s">
        <v>593</v>
      </c>
      <c r="D7" s="400"/>
      <c r="E7" s="397"/>
      <c r="F7" s="413"/>
      <c r="G7" s="413"/>
      <c r="H7" s="410"/>
    </row>
    <row r="8" spans="1:8" ht="13.5" thickBot="1" x14ac:dyDescent="0.2">
      <c r="A8" s="440"/>
      <c r="B8" s="405"/>
      <c r="C8" s="401" t="s">
        <v>594</v>
      </c>
      <c r="D8" s="402"/>
      <c r="E8" s="398"/>
      <c r="F8" s="414"/>
      <c r="G8" s="423"/>
      <c r="H8" s="410"/>
    </row>
    <row r="9" spans="1:8" ht="17.25" customHeight="1" x14ac:dyDescent="0.15">
      <c r="A9" s="403" t="s">
        <v>595</v>
      </c>
      <c r="B9" s="404">
        <v>0.5</v>
      </c>
      <c r="C9" s="406" t="s">
        <v>596</v>
      </c>
      <c r="D9" s="201" t="s">
        <v>597</v>
      </c>
      <c r="E9" s="404">
        <v>0.45</v>
      </c>
      <c r="F9" s="409" t="s">
        <v>648</v>
      </c>
      <c r="G9" s="425" t="s">
        <v>651</v>
      </c>
      <c r="H9" s="410"/>
    </row>
    <row r="10" spans="1:8" ht="15.75" customHeight="1" x14ac:dyDescent="0.15">
      <c r="A10" s="389"/>
      <c r="B10" s="392"/>
      <c r="C10" s="407"/>
      <c r="D10" s="201" t="s">
        <v>598</v>
      </c>
      <c r="E10" s="392"/>
      <c r="F10" s="410"/>
      <c r="G10" s="410"/>
      <c r="H10" s="410"/>
    </row>
    <row r="11" spans="1:8" ht="18" customHeight="1" x14ac:dyDescent="0.15">
      <c r="A11" s="389"/>
      <c r="B11" s="392"/>
      <c r="C11" s="407"/>
      <c r="D11" s="201" t="s">
        <v>643</v>
      </c>
      <c r="E11" s="392"/>
      <c r="F11" s="410"/>
      <c r="G11" s="410"/>
      <c r="H11" s="410"/>
    </row>
    <row r="12" spans="1:8" ht="18" customHeight="1" x14ac:dyDescent="0.15">
      <c r="A12" s="389"/>
      <c r="B12" s="392"/>
      <c r="C12" s="407"/>
      <c r="D12" s="201" t="s">
        <v>644</v>
      </c>
      <c r="E12" s="392"/>
      <c r="F12" s="410"/>
      <c r="G12" s="410"/>
      <c r="H12" s="410"/>
    </row>
    <row r="13" spans="1:8" ht="18.75" customHeight="1" x14ac:dyDescent="0.15">
      <c r="A13" s="389"/>
      <c r="B13" s="392"/>
      <c r="C13" s="407"/>
      <c r="D13" s="201" t="s">
        <v>645</v>
      </c>
      <c r="E13" s="392"/>
      <c r="F13" s="410"/>
      <c r="G13" s="410"/>
      <c r="H13" s="410"/>
    </row>
    <row r="14" spans="1:8" ht="14.25" customHeight="1" x14ac:dyDescent="0.15">
      <c r="A14" s="389"/>
      <c r="B14" s="392"/>
      <c r="C14" s="407"/>
      <c r="D14" s="201" t="s">
        <v>646</v>
      </c>
      <c r="E14" s="392"/>
      <c r="F14" s="410"/>
      <c r="G14" s="410"/>
      <c r="H14" s="410"/>
    </row>
    <row r="15" spans="1:8" ht="12" customHeight="1" x14ac:dyDescent="0.15">
      <c r="A15" s="389"/>
      <c r="B15" s="392"/>
      <c r="C15" s="407"/>
      <c r="D15" s="201" t="s">
        <v>647</v>
      </c>
      <c r="E15" s="392"/>
      <c r="F15" s="410"/>
      <c r="G15" s="410"/>
      <c r="H15" s="410"/>
    </row>
    <row r="16" spans="1:8" ht="10.5" customHeight="1" x14ac:dyDescent="0.15">
      <c r="A16" s="389"/>
      <c r="B16" s="392"/>
      <c r="C16" s="407"/>
      <c r="D16" s="201" t="s">
        <v>599</v>
      </c>
      <c r="E16" s="392"/>
      <c r="F16" s="410"/>
      <c r="G16" s="410"/>
      <c r="H16" s="410"/>
    </row>
    <row r="17" spans="1:8" ht="15" customHeight="1" x14ac:dyDescent="0.15">
      <c r="A17" s="389"/>
      <c r="B17" s="392"/>
      <c r="C17" s="407"/>
      <c r="D17" s="201" t="s">
        <v>600</v>
      </c>
      <c r="E17" s="392"/>
      <c r="F17" s="410"/>
      <c r="G17" s="410"/>
      <c r="H17" s="410"/>
    </row>
    <row r="18" spans="1:8" ht="12.75" customHeight="1" thickBot="1" x14ac:dyDescent="0.2">
      <c r="A18" s="389"/>
      <c r="B18" s="392"/>
      <c r="C18" s="408"/>
      <c r="D18" s="202" t="s">
        <v>601</v>
      </c>
      <c r="E18" s="405"/>
      <c r="F18" s="411"/>
      <c r="G18" s="410"/>
      <c r="H18" s="410"/>
    </row>
    <row r="19" spans="1:8" ht="16.5" customHeight="1" x14ac:dyDescent="0.15">
      <c r="A19" s="389"/>
      <c r="B19" s="392"/>
      <c r="C19" s="412" t="s">
        <v>602</v>
      </c>
      <c r="D19" s="201" t="s">
        <v>603</v>
      </c>
      <c r="E19" s="404">
        <v>0.3</v>
      </c>
      <c r="F19" s="415" t="s">
        <v>650</v>
      </c>
      <c r="G19" s="410"/>
      <c r="H19" s="410"/>
    </row>
    <row r="20" spans="1:8" ht="16.5" customHeight="1" x14ac:dyDescent="0.15">
      <c r="A20" s="389"/>
      <c r="B20" s="392"/>
      <c r="C20" s="413"/>
      <c r="D20" s="201" t="s">
        <v>604</v>
      </c>
      <c r="E20" s="392"/>
      <c r="F20" s="416"/>
      <c r="G20" s="410"/>
      <c r="H20" s="410"/>
    </row>
    <row r="21" spans="1:8" ht="12.75" x14ac:dyDescent="0.15">
      <c r="A21" s="389"/>
      <c r="B21" s="392"/>
      <c r="C21" s="413"/>
      <c r="D21" s="201" t="s">
        <v>637</v>
      </c>
      <c r="E21" s="392"/>
      <c r="F21" s="416"/>
      <c r="G21" s="410"/>
      <c r="H21" s="410"/>
    </row>
    <row r="22" spans="1:8" ht="14.25" customHeight="1" x14ac:dyDescent="0.15">
      <c r="A22" s="389"/>
      <c r="B22" s="392"/>
      <c r="C22" s="413"/>
      <c r="D22" s="201" t="s">
        <v>638</v>
      </c>
      <c r="E22" s="392"/>
      <c r="F22" s="416"/>
      <c r="G22" s="410"/>
      <c r="H22" s="410"/>
    </row>
    <row r="23" spans="1:8" ht="15.75" customHeight="1" thickBot="1" x14ac:dyDescent="0.2">
      <c r="A23" s="389"/>
      <c r="B23" s="392"/>
      <c r="C23" s="414"/>
      <c r="D23" s="203" t="s">
        <v>649</v>
      </c>
      <c r="E23" s="405"/>
      <c r="F23" s="417"/>
      <c r="G23" s="410"/>
      <c r="H23" s="410"/>
    </row>
    <row r="24" spans="1:8" ht="17.25" customHeight="1" x14ac:dyDescent="0.15">
      <c r="A24" s="389"/>
      <c r="B24" s="392"/>
      <c r="C24" s="418" t="s">
        <v>605</v>
      </c>
      <c r="D24" s="204" t="s">
        <v>606</v>
      </c>
      <c r="E24" s="404">
        <v>0.15</v>
      </c>
      <c r="F24" s="409" t="s">
        <v>607</v>
      </c>
      <c r="G24" s="410"/>
      <c r="H24" s="410"/>
    </row>
    <row r="25" spans="1:8" ht="22.5" customHeight="1" x14ac:dyDescent="0.15">
      <c r="A25" s="389"/>
      <c r="B25" s="392"/>
      <c r="C25" s="407"/>
      <c r="D25" s="204" t="s">
        <v>608</v>
      </c>
      <c r="E25" s="392"/>
      <c r="F25" s="410"/>
      <c r="G25" s="410"/>
      <c r="H25" s="410"/>
    </row>
    <row r="26" spans="1:8" ht="25.5" customHeight="1" x14ac:dyDescent="0.15">
      <c r="A26" s="389"/>
      <c r="B26" s="392"/>
      <c r="C26" s="407"/>
      <c r="D26" s="204" t="s">
        <v>609</v>
      </c>
      <c r="E26" s="392"/>
      <c r="F26" s="410"/>
      <c r="G26" s="410"/>
      <c r="H26" s="410"/>
    </row>
    <row r="27" spans="1:8" ht="23.25" customHeight="1" x14ac:dyDescent="0.15">
      <c r="A27" s="389"/>
      <c r="B27" s="392"/>
      <c r="C27" s="407"/>
      <c r="D27" s="204" t="s">
        <v>610</v>
      </c>
      <c r="E27" s="392"/>
      <c r="F27" s="410"/>
      <c r="G27" s="410"/>
      <c r="H27" s="410"/>
    </row>
    <row r="28" spans="1:8" ht="23.25" customHeight="1" x14ac:dyDescent="0.15">
      <c r="A28" s="389"/>
      <c r="B28" s="392"/>
      <c r="C28" s="407"/>
      <c r="D28" s="204" t="s">
        <v>611</v>
      </c>
      <c r="E28" s="392"/>
      <c r="F28" s="410"/>
      <c r="G28" s="410"/>
      <c r="H28" s="410"/>
    </row>
    <row r="29" spans="1:8" ht="23.25" customHeight="1" x14ac:dyDescent="0.15">
      <c r="A29" s="389"/>
      <c r="B29" s="392"/>
      <c r="C29" s="407"/>
      <c r="D29" s="204" t="s">
        <v>612</v>
      </c>
      <c r="E29" s="392"/>
      <c r="F29" s="410"/>
      <c r="G29" s="410"/>
      <c r="H29" s="410"/>
    </row>
    <row r="30" spans="1:8" ht="29.25" customHeight="1" x14ac:dyDescent="0.15">
      <c r="A30" s="389"/>
      <c r="B30" s="392"/>
      <c r="C30" s="407"/>
      <c r="D30" s="204" t="s">
        <v>613</v>
      </c>
      <c r="E30" s="392"/>
      <c r="F30" s="410"/>
      <c r="G30" s="410"/>
      <c r="H30" s="410"/>
    </row>
    <row r="31" spans="1:8" ht="27.75" customHeight="1" x14ac:dyDescent="0.15">
      <c r="A31" s="389"/>
      <c r="B31" s="392"/>
      <c r="C31" s="407"/>
      <c r="D31" s="204" t="s">
        <v>614</v>
      </c>
      <c r="E31" s="392"/>
      <c r="F31" s="410"/>
      <c r="G31" s="410"/>
      <c r="H31" s="410"/>
    </row>
    <row r="32" spans="1:8" ht="21.75" customHeight="1" x14ac:dyDescent="0.15">
      <c r="A32" s="389"/>
      <c r="B32" s="392"/>
      <c r="C32" s="407"/>
      <c r="D32" s="204" t="s">
        <v>615</v>
      </c>
      <c r="E32" s="392"/>
      <c r="F32" s="410"/>
      <c r="G32" s="410"/>
      <c r="H32" s="410"/>
    </row>
    <row r="33" spans="1:8" ht="21" customHeight="1" x14ac:dyDescent="0.15">
      <c r="A33" s="389"/>
      <c r="B33" s="392"/>
      <c r="C33" s="407"/>
      <c r="D33" s="204" t="s">
        <v>616</v>
      </c>
      <c r="E33" s="392"/>
      <c r="F33" s="410"/>
      <c r="G33" s="410"/>
      <c r="H33" s="410"/>
    </row>
    <row r="34" spans="1:8" ht="20.25" customHeight="1" x14ac:dyDescent="0.15">
      <c r="A34" s="389"/>
      <c r="B34" s="392"/>
      <c r="C34" s="407"/>
      <c r="D34" s="204" t="s">
        <v>617</v>
      </c>
      <c r="E34" s="392"/>
      <c r="F34" s="410"/>
      <c r="G34" s="410"/>
      <c r="H34" s="410"/>
    </row>
    <row r="35" spans="1:8" ht="20.25" customHeight="1" x14ac:dyDescent="0.15">
      <c r="A35" s="389"/>
      <c r="B35" s="392"/>
      <c r="C35" s="407"/>
      <c r="D35" s="204" t="s">
        <v>618</v>
      </c>
      <c r="E35" s="392"/>
      <c r="F35" s="410"/>
      <c r="G35" s="410"/>
      <c r="H35" s="410"/>
    </row>
    <row r="36" spans="1:8" ht="21" customHeight="1" thickBot="1" x14ac:dyDescent="0.2">
      <c r="A36" s="389"/>
      <c r="B36" s="392"/>
      <c r="C36" s="419"/>
      <c r="D36" s="205" t="s">
        <v>619</v>
      </c>
      <c r="E36" s="393"/>
      <c r="F36" s="411"/>
      <c r="G36" s="410"/>
      <c r="H36" s="410"/>
    </row>
    <row r="37" spans="1:8" ht="40.5" customHeight="1" x14ac:dyDescent="0.15">
      <c r="A37" s="389"/>
      <c r="B37" s="392"/>
      <c r="C37" s="406" t="s">
        <v>620</v>
      </c>
      <c r="D37" s="204" t="s">
        <v>621</v>
      </c>
      <c r="E37" s="391">
        <v>0.1</v>
      </c>
      <c r="F37" s="409" t="s">
        <v>622</v>
      </c>
      <c r="G37" s="410"/>
      <c r="H37" s="410"/>
    </row>
    <row r="38" spans="1:8" ht="63" customHeight="1" x14ac:dyDescent="0.15">
      <c r="A38" s="389"/>
      <c r="B38" s="392"/>
      <c r="C38" s="407"/>
      <c r="D38" s="204" t="s">
        <v>623</v>
      </c>
      <c r="E38" s="392"/>
      <c r="F38" s="410"/>
      <c r="G38" s="410"/>
      <c r="H38" s="410"/>
    </row>
    <row r="39" spans="1:8" ht="60.75" customHeight="1" thickBot="1" x14ac:dyDescent="0.2">
      <c r="A39" s="389"/>
      <c r="B39" s="392"/>
      <c r="C39" s="419"/>
      <c r="D39" s="205" t="s">
        <v>624</v>
      </c>
      <c r="E39" s="393"/>
      <c r="F39" s="411"/>
      <c r="G39" s="424"/>
      <c r="H39" s="410"/>
    </row>
    <row r="40" spans="1:8" ht="13.5" thickBot="1" x14ac:dyDescent="0.2">
      <c r="A40" s="390"/>
      <c r="B40" s="405"/>
      <c r="C40" s="420" t="s">
        <v>626</v>
      </c>
      <c r="D40" s="421"/>
      <c r="E40" s="422">
        <v>1</v>
      </c>
      <c r="F40" s="409" t="s">
        <v>639</v>
      </c>
      <c r="G40" s="425" t="s">
        <v>627</v>
      </c>
      <c r="H40" s="410"/>
    </row>
    <row r="41" spans="1:8" ht="25.5" x14ac:dyDescent="0.15">
      <c r="A41" s="206" t="s">
        <v>625</v>
      </c>
      <c r="B41" s="207">
        <v>0.1</v>
      </c>
      <c r="C41" s="426" t="s">
        <v>628</v>
      </c>
      <c r="D41" s="427"/>
      <c r="E41" s="397"/>
      <c r="F41" s="410"/>
      <c r="G41" s="410"/>
      <c r="H41" s="410"/>
    </row>
    <row r="42" spans="1:8" ht="13.5" thickBot="1" x14ac:dyDescent="0.2">
      <c r="A42" s="208"/>
      <c r="B42" s="209"/>
      <c r="C42" s="428" t="s">
        <v>629</v>
      </c>
      <c r="D42" s="429"/>
      <c r="E42" s="398"/>
      <c r="F42" s="411"/>
      <c r="G42" s="424"/>
      <c r="H42" s="410"/>
    </row>
    <row r="43" spans="1:8" ht="12.75" x14ac:dyDescent="0.15">
      <c r="A43" s="388" t="s">
        <v>652</v>
      </c>
      <c r="B43" s="391">
        <v>0.15</v>
      </c>
      <c r="C43" s="394" t="s">
        <v>630</v>
      </c>
      <c r="D43" s="395"/>
      <c r="E43" s="396">
        <v>1</v>
      </c>
      <c r="F43" s="412" t="s">
        <v>588</v>
      </c>
      <c r="G43" s="425" t="s">
        <v>631</v>
      </c>
      <c r="H43" s="410"/>
    </row>
    <row r="44" spans="1:8" ht="12.75" x14ac:dyDescent="0.15">
      <c r="A44" s="389"/>
      <c r="B44" s="392"/>
      <c r="C44" s="399" t="s">
        <v>632</v>
      </c>
      <c r="D44" s="400"/>
      <c r="E44" s="397"/>
      <c r="F44" s="413"/>
      <c r="G44" s="410"/>
      <c r="H44" s="410"/>
    </row>
    <row r="45" spans="1:8" ht="12.75" x14ac:dyDescent="0.15">
      <c r="A45" s="389"/>
      <c r="B45" s="392"/>
      <c r="C45" s="399" t="s">
        <v>633</v>
      </c>
      <c r="D45" s="400"/>
      <c r="E45" s="397"/>
      <c r="F45" s="413"/>
      <c r="G45" s="410"/>
      <c r="H45" s="410"/>
    </row>
    <row r="46" spans="1:8" ht="12.75" x14ac:dyDescent="0.15">
      <c r="A46" s="389"/>
      <c r="B46" s="392"/>
      <c r="C46" s="399" t="s">
        <v>634</v>
      </c>
      <c r="D46" s="400"/>
      <c r="E46" s="397"/>
      <c r="F46" s="413"/>
      <c r="G46" s="410"/>
      <c r="H46" s="410"/>
    </row>
    <row r="47" spans="1:8" ht="12.75" x14ac:dyDescent="0.15">
      <c r="A47" s="389"/>
      <c r="B47" s="392"/>
      <c r="C47" s="399" t="s">
        <v>635</v>
      </c>
      <c r="D47" s="400"/>
      <c r="E47" s="397"/>
      <c r="F47" s="413"/>
      <c r="G47" s="410"/>
      <c r="H47" s="410"/>
    </row>
    <row r="48" spans="1:8" ht="13.5" thickBot="1" x14ac:dyDescent="0.2">
      <c r="A48" s="390"/>
      <c r="B48" s="393"/>
      <c r="C48" s="401" t="s">
        <v>636</v>
      </c>
      <c r="D48" s="402"/>
      <c r="E48" s="398"/>
      <c r="F48" s="414"/>
      <c r="G48" s="424"/>
      <c r="H48" s="424"/>
    </row>
  </sheetData>
  <mergeCells count="49">
    <mergeCell ref="A3:A8"/>
    <mergeCell ref="B3:B8"/>
    <mergeCell ref="C3:D3"/>
    <mergeCell ref="E3:E8"/>
    <mergeCell ref="F3:F8"/>
    <mergeCell ref="A1:A2"/>
    <mergeCell ref="B1:B2"/>
    <mergeCell ref="C1:D2"/>
    <mergeCell ref="E1:F1"/>
    <mergeCell ref="G1:G2"/>
    <mergeCell ref="G3:G8"/>
    <mergeCell ref="H3:H48"/>
    <mergeCell ref="C4:D4"/>
    <mergeCell ref="C5:D5"/>
    <mergeCell ref="C6:D6"/>
    <mergeCell ref="C7:D7"/>
    <mergeCell ref="C8:D8"/>
    <mergeCell ref="E24:E36"/>
    <mergeCell ref="F24:F36"/>
    <mergeCell ref="C37:C39"/>
    <mergeCell ref="G40:G42"/>
    <mergeCell ref="C41:D41"/>
    <mergeCell ref="C42:D42"/>
    <mergeCell ref="G9:G39"/>
    <mergeCell ref="F43:F48"/>
    <mergeCell ref="G43:G48"/>
    <mergeCell ref="A9:A40"/>
    <mergeCell ref="B9:B40"/>
    <mergeCell ref="C9:C18"/>
    <mergeCell ref="E9:E18"/>
    <mergeCell ref="F9:F18"/>
    <mergeCell ref="C19:C23"/>
    <mergeCell ref="E19:E23"/>
    <mergeCell ref="F19:F23"/>
    <mergeCell ref="C24:C36"/>
    <mergeCell ref="E37:E39"/>
    <mergeCell ref="F37:F39"/>
    <mergeCell ref="C40:D40"/>
    <mergeCell ref="E40:E42"/>
    <mergeCell ref="F40:F42"/>
    <mergeCell ref="A43:A48"/>
    <mergeCell ref="B43:B48"/>
    <mergeCell ref="C43:D43"/>
    <mergeCell ref="E43:E48"/>
    <mergeCell ref="C44:D44"/>
    <mergeCell ref="C45:D45"/>
    <mergeCell ref="C46:D46"/>
    <mergeCell ref="C47:D47"/>
    <mergeCell ref="C48:D48"/>
  </mergeCells>
  <phoneticPr fontId="1" type="noConversion"/>
  <pageMargins left="0.7" right="0.7" top="0.75" bottom="0.75" header="0.3" footer="0.3"/>
  <pageSetup paperSize="9" scale="77" fitToWidth="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 page</vt:lpstr>
      <vt:lpstr>customer data</vt:lpstr>
      <vt:lpstr>Deal Risk (2)</vt:lpstr>
      <vt:lpstr>Deal Risk (3)</vt:lpstr>
      <vt:lpstr>Leasing</vt:lpstr>
      <vt:lpstr>Criteria</vt:lpstr>
      <vt:lpstr>Score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Lai, Da Yong</dc:creator>
  <cp:lastModifiedBy>Lai, Da Yong</cp:lastModifiedBy>
  <cp:lastPrinted>2014-06-19T03:06:10Z</cp:lastPrinted>
  <dcterms:created xsi:type="dcterms:W3CDTF">2013-08-07T01:54:47Z</dcterms:created>
  <dcterms:modified xsi:type="dcterms:W3CDTF">2014-06-30T06:12:38Z</dcterms:modified>
</cp:coreProperties>
</file>